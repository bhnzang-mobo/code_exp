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bhnza\Desktop\"/>
    </mc:Choice>
  </mc:AlternateContent>
  <xr:revisionPtr revIDLastSave="0" documentId="13_ncr:1_{C3A67E9A-E278-4278-B855-046A00C0B2F2}" xr6:coauthVersionLast="45" xr6:coauthVersionMax="45" xr10:uidLastSave="{00000000-0000-0000-0000-000000000000}"/>
  <bookViews>
    <workbookView xWindow="810" yWindow="-120" windowWidth="28110" windowHeight="16440" xr2:uid="{00000000-000D-0000-FFFF-FFFF00000000}"/>
  </bookViews>
  <sheets>
    <sheet name="복무요원 진급확인표" sheetId="1" r:id="rId1"/>
    <sheet name="복무요원 명단" sheetId="2" r:id="rId2"/>
    <sheet name="연·병가 확인표" sheetId="4" r:id="rId3"/>
    <sheet name="계급표" sheetId="3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" l="1"/>
  <c r="F1" i="1" l="1"/>
  <c r="G7" i="2"/>
  <c r="E21" i="2"/>
  <c r="E19" i="2"/>
  <c r="E18" i="2"/>
  <c r="E17" i="2"/>
  <c r="E14" i="2"/>
  <c r="G1" i="2"/>
  <c r="E30" i="2"/>
  <c r="E29" i="2"/>
  <c r="E28" i="2"/>
  <c r="E27" i="2"/>
  <c r="E26" i="2"/>
  <c r="E25" i="2"/>
  <c r="E24" i="2"/>
  <c r="E23" i="2"/>
  <c r="E22" i="2"/>
  <c r="E20" i="2"/>
  <c r="E16" i="2"/>
  <c r="E15" i="2"/>
  <c r="E13" i="2"/>
  <c r="E12" i="2"/>
  <c r="E11" i="2"/>
  <c r="E10" i="2"/>
  <c r="E9" i="2"/>
  <c r="E8" i="2"/>
  <c r="E7" i="2"/>
  <c r="E6" i="2"/>
  <c r="E5" i="2"/>
  <c r="E4" i="2"/>
  <c r="E3" i="2"/>
  <c r="E2" i="2"/>
  <c r="A8" i="2"/>
  <c r="A14" i="2"/>
  <c r="A3" i="2"/>
  <c r="A26" i="2"/>
  <c r="A22" i="2"/>
  <c r="A10" i="2"/>
  <c r="A18" i="2"/>
  <c r="A30" i="2"/>
  <c r="A29" i="2"/>
  <c r="A17" i="2"/>
  <c r="A9" i="2"/>
  <c r="A5" i="2"/>
  <c r="J7" i="4" s="1"/>
  <c r="A6" i="2"/>
  <c r="A25" i="2"/>
  <c r="A21" i="2"/>
  <c r="A13" i="2"/>
  <c r="A28" i="2"/>
  <c r="A24" i="2"/>
  <c r="A20" i="2"/>
  <c r="A16" i="2"/>
  <c r="A12" i="2"/>
  <c r="A4" i="2"/>
  <c r="J5" i="4" s="1"/>
  <c r="A2" i="2"/>
  <c r="A27" i="2"/>
  <c r="A23" i="2"/>
  <c r="A19" i="2"/>
  <c r="A15" i="2"/>
  <c r="A11" i="2"/>
  <c r="A7" i="2"/>
  <c r="B2" i="4"/>
  <c r="J2" i="4"/>
  <c r="C4" i="4"/>
  <c r="D2" i="4"/>
  <c r="D4" i="4"/>
  <c r="C2" i="4"/>
  <c r="I4" i="4"/>
  <c r="J4" i="4"/>
  <c r="B4" i="4"/>
  <c r="I2" i="4"/>
  <c r="A2" i="1"/>
  <c r="A4" i="4"/>
  <c r="A2" i="4"/>
  <c r="C4" i="1"/>
  <c r="B4" i="1"/>
  <c r="C5" i="1"/>
  <c r="C2" i="1"/>
  <c r="A4" i="1"/>
  <c r="B2" i="1"/>
  <c r="H6" i="1"/>
  <c r="H9" i="1"/>
  <c r="H2" i="1" s="1"/>
  <c r="H3" i="1"/>
  <c r="F3" i="1"/>
  <c r="F9" i="1"/>
  <c r="F6" i="1"/>
  <c r="E3" i="3"/>
  <c r="E4" i="3"/>
  <c r="E5" i="3"/>
  <c r="A9" i="4" l="1"/>
  <c r="D26" i="4"/>
  <c r="I12" i="4"/>
  <c r="J9" i="4"/>
  <c r="B22" i="1"/>
  <c r="B22" i="4"/>
  <c r="I5" i="4"/>
  <c r="B5" i="4"/>
  <c r="B17" i="1"/>
  <c r="B11" i="1"/>
  <c r="A7" i="1"/>
  <c r="A6" i="1"/>
  <c r="C26" i="1"/>
  <c r="C28" i="1"/>
  <c r="A7" i="4"/>
  <c r="A10" i="4"/>
  <c r="B28" i="4"/>
  <c r="J12" i="4"/>
  <c r="I28" i="4"/>
  <c r="C11" i="4"/>
  <c r="D5" i="4"/>
  <c r="D22" i="4"/>
  <c r="B16" i="4"/>
  <c r="D19" i="4"/>
  <c r="C6" i="4"/>
  <c r="B28" i="1"/>
  <c r="D27" i="4"/>
  <c r="B15" i="4"/>
  <c r="A5" i="1"/>
  <c r="A13" i="1"/>
  <c r="D13" i="1" s="1"/>
  <c r="C9" i="1"/>
  <c r="C15" i="1"/>
  <c r="B21" i="1"/>
  <c r="B23" i="1"/>
  <c r="A5" i="4"/>
  <c r="A21" i="4"/>
  <c r="G21" i="4" s="1"/>
  <c r="C13" i="4"/>
  <c r="I20" i="4"/>
  <c r="C27" i="4"/>
  <c r="B6" i="4"/>
  <c r="C20" i="4"/>
  <c r="J17" i="4"/>
  <c r="I15" i="4"/>
  <c r="C5" i="4"/>
  <c r="C10" i="4"/>
  <c r="C16" i="1"/>
  <c r="J18" i="4"/>
  <c r="A18" i="1"/>
  <c r="D18" i="1" s="1"/>
  <c r="C18" i="1"/>
  <c r="B5" i="1"/>
  <c r="B18" i="1"/>
  <c r="C21" i="1"/>
  <c r="C27" i="1"/>
  <c r="A30" i="4"/>
  <c r="F30" i="4" s="1"/>
  <c r="A19" i="4"/>
  <c r="F19" i="4" s="1"/>
  <c r="A28" i="4"/>
  <c r="F28" i="4" s="1"/>
  <c r="I23" i="4"/>
  <c r="J28" i="4"/>
  <c r="C18" i="4"/>
  <c r="D16" i="4"/>
  <c r="J13" i="4"/>
  <c r="D9" i="4"/>
  <c r="I19" i="4"/>
  <c r="B23" i="4"/>
  <c r="G4" i="4"/>
  <c r="G9" i="4"/>
  <c r="F2" i="4"/>
  <c r="H4" i="1"/>
  <c r="H7" i="1"/>
  <c r="B10" i="1"/>
  <c r="A8" i="1"/>
  <c r="B16" i="1"/>
  <c r="B8" i="1"/>
  <c r="C12" i="1"/>
  <c r="A20" i="1"/>
  <c r="D20" i="1" s="1"/>
  <c r="B7" i="1"/>
  <c r="C11" i="1"/>
  <c r="B24" i="1"/>
  <c r="C30" i="1"/>
  <c r="B25" i="1"/>
  <c r="B30" i="1"/>
  <c r="A21" i="1"/>
  <c r="D21" i="1" s="1"/>
  <c r="B26" i="1"/>
  <c r="B27" i="1"/>
  <c r="A22" i="1"/>
  <c r="D22" i="1" s="1"/>
  <c r="A26" i="4"/>
  <c r="G26" i="4" s="1"/>
  <c r="A29" i="4"/>
  <c r="G29" i="4" s="1"/>
  <c r="A13" i="4"/>
  <c r="A15" i="4"/>
  <c r="A3" i="4"/>
  <c r="A24" i="4"/>
  <c r="D29" i="4"/>
  <c r="I17" i="4"/>
  <c r="B24" i="4"/>
  <c r="D10" i="4"/>
  <c r="J24" i="4"/>
  <c r="J8" i="4"/>
  <c r="C26" i="4"/>
  <c r="D15" i="4"/>
  <c r="I26" i="4"/>
  <c r="I18" i="4"/>
  <c r="I10" i="4"/>
  <c r="B26" i="4"/>
  <c r="D20" i="4"/>
  <c r="C15" i="4"/>
  <c r="B10" i="4"/>
  <c r="B19" i="4"/>
  <c r="D13" i="4"/>
  <c r="C8" i="4"/>
  <c r="B3" i="4"/>
  <c r="J3" i="4"/>
  <c r="I13" i="4"/>
  <c r="D6" i="4"/>
  <c r="J11" i="4"/>
  <c r="I11" i="4"/>
  <c r="C25" i="4"/>
  <c r="D14" i="4"/>
  <c r="J30" i="4"/>
  <c r="J14" i="4"/>
  <c r="B29" i="4"/>
  <c r="B17" i="4"/>
  <c r="B9" i="4"/>
  <c r="D3" i="4"/>
  <c r="A12" i="1"/>
  <c r="D12" i="1" s="1"/>
  <c r="B15" i="1"/>
  <c r="A19" i="1"/>
  <c r="D19" i="1" s="1"/>
  <c r="A11" i="1"/>
  <c r="D11" i="1" s="1"/>
  <c r="B13" i="1"/>
  <c r="B6" i="1"/>
  <c r="C10" i="1"/>
  <c r="A17" i="1"/>
  <c r="D17" i="1" s="1"/>
  <c r="C17" i="1"/>
  <c r="A10" i="1"/>
  <c r="D10" i="1" s="1"/>
  <c r="B14" i="1"/>
  <c r="C8" i="1"/>
  <c r="A16" i="1"/>
  <c r="D16" i="1" s="1"/>
  <c r="B3" i="1"/>
  <c r="C7" i="1"/>
  <c r="B29" i="1"/>
  <c r="A24" i="1"/>
  <c r="D24" i="1" s="1"/>
  <c r="A29" i="1"/>
  <c r="D29" i="1" s="1"/>
  <c r="C29" i="1"/>
  <c r="C23" i="1"/>
  <c r="A26" i="1"/>
  <c r="D26" i="1" s="1"/>
  <c r="A27" i="1"/>
  <c r="D27" i="1" s="1"/>
  <c r="A18" i="4"/>
  <c r="A17" i="4"/>
  <c r="A27" i="4"/>
  <c r="A6" i="4"/>
  <c r="A11" i="4"/>
  <c r="A8" i="4"/>
  <c r="A20" i="4"/>
  <c r="G20" i="4" s="1"/>
  <c r="J23" i="4"/>
  <c r="C24" i="4"/>
  <c r="I9" i="4"/>
  <c r="B20" i="4"/>
  <c r="B8" i="4"/>
  <c r="J20" i="4"/>
  <c r="C22" i="4"/>
  <c r="D11" i="4"/>
  <c r="I24" i="4"/>
  <c r="I16" i="4"/>
  <c r="I8" i="4"/>
  <c r="B30" i="4"/>
  <c r="D24" i="4"/>
  <c r="C19" i="4"/>
  <c r="B14" i="4"/>
  <c r="D8" i="4"/>
  <c r="C3" i="4"/>
  <c r="D25" i="4"/>
  <c r="D17" i="4"/>
  <c r="C12" i="4"/>
  <c r="B7" i="4"/>
  <c r="J27" i="4"/>
  <c r="B27" i="4"/>
  <c r="I7" i="4"/>
  <c r="J29" i="4"/>
  <c r="I25" i="4"/>
  <c r="C21" i="4"/>
  <c r="B12" i="4"/>
  <c r="J26" i="4"/>
  <c r="J10" i="4"/>
  <c r="B25" i="4"/>
  <c r="C14" i="4"/>
  <c r="D7" i="4"/>
  <c r="G7" i="4" s="1"/>
  <c r="A3" i="1"/>
  <c r="C14" i="1"/>
  <c r="B19" i="1"/>
  <c r="A9" i="1"/>
  <c r="C6" i="1"/>
  <c r="A15" i="1"/>
  <c r="D15" i="1" s="1"/>
  <c r="B9" i="1"/>
  <c r="C13" i="1"/>
  <c r="B20" i="1"/>
  <c r="B12" i="1"/>
  <c r="C20" i="1"/>
  <c r="A14" i="1"/>
  <c r="D14" i="1" s="1"/>
  <c r="C19" i="1"/>
  <c r="C3" i="1"/>
  <c r="A23" i="1"/>
  <c r="D23" i="1" s="1"/>
  <c r="A28" i="1"/>
  <c r="D28" i="1" s="1"/>
  <c r="C22" i="1"/>
  <c r="A25" i="1"/>
  <c r="D25" i="1" s="1"/>
  <c r="C25" i="1"/>
  <c r="A30" i="1"/>
  <c r="D30" i="1" s="1"/>
  <c r="C24" i="1"/>
  <c r="A14" i="4"/>
  <c r="A23" i="4"/>
  <c r="A22" i="4"/>
  <c r="A25" i="4"/>
  <c r="A12" i="4"/>
  <c r="A16" i="4"/>
  <c r="J15" i="4"/>
  <c r="I27" i="4"/>
  <c r="I3" i="4"/>
  <c r="C17" i="4"/>
  <c r="J16" i="4"/>
  <c r="C30" i="4"/>
  <c r="B21" i="4"/>
  <c r="I30" i="4"/>
  <c r="I22" i="4"/>
  <c r="I14" i="4"/>
  <c r="I6" i="4"/>
  <c r="D28" i="4"/>
  <c r="C23" i="4"/>
  <c r="B18" i="4"/>
  <c r="D12" i="4"/>
  <c r="C7" i="4"/>
  <c r="J21" i="4"/>
  <c r="D21" i="4"/>
  <c r="C16" i="4"/>
  <c r="B11" i="4"/>
  <c r="J19" i="4"/>
  <c r="I29" i="4"/>
  <c r="C29" i="4"/>
  <c r="J25" i="4"/>
  <c r="C28" i="4"/>
  <c r="I21" i="4"/>
  <c r="D30" i="4"/>
  <c r="D18" i="4"/>
  <c r="C9" i="4"/>
  <c r="F9" i="4" s="1"/>
  <c r="J22" i="4"/>
  <c r="J6" i="4"/>
  <c r="D23" i="4"/>
  <c r="B13" i="4"/>
  <c r="G19" i="4"/>
  <c r="G2" i="4"/>
  <c r="F21" i="4"/>
  <c r="G30" i="4"/>
  <c r="F4" i="4"/>
  <c r="F29" i="4"/>
  <c r="F26" i="4"/>
  <c r="H10" i="1"/>
  <c r="G28" i="4" l="1"/>
  <c r="D5" i="1"/>
  <c r="F10" i="4"/>
  <c r="F6" i="4"/>
  <c r="G5" i="4"/>
  <c r="F20" i="4"/>
  <c r="F5" i="4"/>
  <c r="G10" i="4"/>
  <c r="F8" i="4"/>
  <c r="G6" i="4"/>
  <c r="F7" i="4"/>
  <c r="D7" i="1"/>
  <c r="D9" i="1"/>
  <c r="F25" i="4"/>
  <c r="G25" i="4"/>
  <c r="G22" i="4"/>
  <c r="F22" i="4"/>
  <c r="G3" i="4"/>
  <c r="F3" i="4"/>
  <c r="G11" i="4"/>
  <c r="F11" i="4"/>
  <c r="G24" i="4"/>
  <c r="F24" i="4"/>
  <c r="F16" i="4"/>
  <c r="G16" i="4"/>
  <c r="F23" i="4"/>
  <c r="G23" i="4"/>
  <c r="G27" i="4"/>
  <c r="F27" i="4"/>
  <c r="F15" i="4"/>
  <c r="G15" i="4"/>
  <c r="G18" i="4"/>
  <c r="F18" i="4"/>
  <c r="F12" i="4"/>
  <c r="G12" i="4"/>
  <c r="F14" i="4"/>
  <c r="G14" i="4"/>
  <c r="G8" i="4"/>
  <c r="G17" i="4"/>
  <c r="F17" i="4"/>
  <c r="F13" i="4"/>
  <c r="G13" i="4"/>
  <c r="D3" i="1"/>
  <c r="D8" i="1"/>
  <c r="D4" i="1"/>
  <c r="D6" i="1"/>
  <c r="D2" i="1"/>
</calcChain>
</file>

<file path=xl/sharedStrings.xml><?xml version="1.0" encoding="utf-8"?>
<sst xmlns="http://schemas.openxmlformats.org/spreadsheetml/2006/main" count="46" uniqueCount="37">
  <si>
    <t>소집해제 순서</t>
    <phoneticPr fontId="2" type="noConversion"/>
  </si>
  <si>
    <t>이름</t>
    <phoneticPr fontId="2" type="noConversion"/>
  </si>
  <si>
    <t>입대 날짜</t>
    <phoneticPr fontId="2" type="noConversion"/>
  </si>
  <si>
    <t>전역 날짜</t>
    <phoneticPr fontId="2" type="noConversion"/>
  </si>
  <si>
    <t>박성수</t>
    <phoneticPr fontId="2" type="noConversion"/>
  </si>
  <si>
    <t>김정호</t>
    <phoneticPr fontId="2" type="noConversion"/>
  </si>
  <si>
    <t>이지훈</t>
    <phoneticPr fontId="2" type="noConversion"/>
  </si>
  <si>
    <t>계급</t>
    <phoneticPr fontId="2" type="noConversion"/>
  </si>
  <si>
    <t>개월 (시작)</t>
    <phoneticPr fontId="2" type="noConversion"/>
  </si>
  <si>
    <t>개월 (종료)</t>
    <phoneticPr fontId="2" type="noConversion"/>
  </si>
  <si>
    <t>이병</t>
    <phoneticPr fontId="2" type="noConversion"/>
  </si>
  <si>
    <t>일병</t>
    <phoneticPr fontId="2" type="noConversion"/>
  </si>
  <si>
    <t>상병</t>
    <phoneticPr fontId="2" type="noConversion"/>
  </si>
  <si>
    <t>병장</t>
    <phoneticPr fontId="2" type="noConversion"/>
  </si>
  <si>
    <t>일병 진급</t>
    <phoneticPr fontId="2" type="noConversion"/>
  </si>
  <si>
    <t>상병 진급</t>
    <phoneticPr fontId="2" type="noConversion"/>
  </si>
  <si>
    <t>병장 진급</t>
    <phoneticPr fontId="2" type="noConversion"/>
  </si>
  <si>
    <t>미진급</t>
    <phoneticPr fontId="2" type="noConversion"/>
  </si>
  <si>
    <t>진급 확인표</t>
    <phoneticPr fontId="2" type="noConversion"/>
  </si>
  <si>
    <t>박중재</t>
    <phoneticPr fontId="2" type="noConversion"/>
  </si>
  <si>
    <t>모보현</t>
    <phoneticPr fontId="2" type="noConversion"/>
  </si>
  <si>
    <t>끝날때 까지</t>
    <phoneticPr fontId="2" type="noConversion"/>
  </si>
  <si>
    <t>연가</t>
    <phoneticPr fontId="2" type="noConversion"/>
  </si>
  <si>
    <t>반가</t>
    <phoneticPr fontId="2" type="noConversion"/>
  </si>
  <si>
    <t>병가</t>
    <phoneticPr fontId="2" type="noConversion"/>
  </si>
  <si>
    <t>연가 총합</t>
    <phoneticPr fontId="2" type="noConversion"/>
  </si>
  <si>
    <t>병가 총합</t>
    <phoneticPr fontId="2" type="noConversion"/>
  </si>
  <si>
    <t>연가 기준일수</t>
    <phoneticPr fontId="2" type="noConversion"/>
  </si>
  <si>
    <t>병가 기준일수</t>
    <phoneticPr fontId="2" type="noConversion"/>
  </si>
  <si>
    <t>송찬호 (분할)</t>
    <phoneticPr fontId="2" type="noConversion"/>
  </si>
  <si>
    <t>갱신날짜</t>
    <phoneticPr fontId="2" type="noConversion"/>
  </si>
  <si>
    <t>오늘 날짜로 갱신</t>
    <phoneticPr fontId="2" type="noConversion"/>
  </si>
  <si>
    <t>김세혁</t>
    <phoneticPr fontId="2" type="noConversion"/>
  </si>
  <si>
    <t>이원채</t>
    <phoneticPr fontId="2" type="noConversion"/>
  </si>
  <si>
    <t>진제범</t>
    <phoneticPr fontId="2" type="noConversion"/>
  </si>
  <si>
    <t>이원채(분할)</t>
    <phoneticPr fontId="2" type="noConversion"/>
  </si>
  <si>
    <t>20-06-01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</si>
</sst>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_);[Red]\(0\)"/>
    <numFmt numFmtId="177" formatCode="0.00000_);[Red]\(0.00000\)"/>
    <numFmt numFmtId="178" formatCode="0.000000"/>
    <numFmt numFmtId="179" formatCode="0.0_);[Red]\(0.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4" fontId="0" fillId="2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0" fontId="1" fillId="0" borderId="0" xfId="0" applyFont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Protection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0" borderId="0" xfId="0" applyAlignment="1">
      <alignment vertical="center"/>
    </xf>
    <xf numFmtId="14" fontId="1" fillId="0" borderId="0" xfId="0" applyNumberFormat="1" applyFont="1" applyFill="1" applyBorder="1">
      <alignment vertical="center"/>
    </xf>
    <xf numFmtId="14" fontId="1" fillId="0" borderId="0" xfId="0" applyNumberFormat="1" applyFont="1" applyFill="1">
      <alignment vertical="center"/>
    </xf>
    <xf numFmtId="14" fontId="1" fillId="0" borderId="0" xfId="0" applyNumberFormat="1" applyFont="1" applyProtection="1">
      <alignment vertical="center"/>
      <protection locked="0" hidden="1"/>
    </xf>
    <xf numFmtId="0" fontId="0" fillId="0" borderId="0" xfId="0" applyProtection="1">
      <alignment vertical="center"/>
      <protection locked="0" hidden="1"/>
    </xf>
    <xf numFmtId="14" fontId="1" fillId="0" borderId="0" xfId="0" applyNumberFormat="1" applyFont="1" applyFill="1" applyProtection="1">
      <alignment vertical="center"/>
      <protection locked="0" hidden="1"/>
    </xf>
    <xf numFmtId="177" fontId="0" fillId="0" borderId="0" xfId="0" applyNumberFormat="1">
      <alignment vertical="center"/>
    </xf>
    <xf numFmtId="176" fontId="0" fillId="0" borderId="0" xfId="0" applyNumberFormat="1" applyProtection="1">
      <alignment vertical="center"/>
      <protection locked="0"/>
    </xf>
    <xf numFmtId="178" fontId="0" fillId="0" borderId="0" xfId="0" applyNumberFormat="1" applyAlignment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176" fontId="0" fillId="2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76" fontId="0" fillId="2" borderId="0" xfId="0" applyNumberFormat="1" applyFill="1" applyAlignment="1" applyProtection="1">
      <alignment horizontal="center" vertical="center"/>
    </xf>
    <xf numFmtId="179" fontId="0" fillId="2" borderId="0" xfId="0" applyNumberFormat="1" applyFill="1" applyAlignment="1" applyProtection="1">
      <alignment horizontal="center" vertical="center"/>
    </xf>
    <xf numFmtId="176" fontId="0" fillId="0" borderId="0" xfId="0" applyNumberFormat="1" applyFill="1" applyAlignme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Protection="1">
      <alignment vertical="center"/>
    </xf>
    <xf numFmtId="9" fontId="0" fillId="0" borderId="0" xfId="1" applyNumberFormat="1" applyFont="1" applyAlignment="1" applyProtection="1">
      <alignment horizontal="right" vertical="center"/>
    </xf>
    <xf numFmtId="179" fontId="0" fillId="0" borderId="0" xfId="1" applyNumberFormat="1" applyFont="1" applyAlignment="1" applyProtection="1">
      <alignment horizontal="right" vertical="center"/>
    </xf>
    <xf numFmtId="9" fontId="0" fillId="0" borderId="0" xfId="0" applyNumberFormat="1" applyProtection="1">
      <alignment vertical="center"/>
    </xf>
    <xf numFmtId="0" fontId="0" fillId="2" borderId="0" xfId="0" applyFill="1" applyAlignment="1" applyProtection="1">
      <alignment horizontal="center" vertical="center"/>
    </xf>
    <xf numFmtId="9" fontId="0" fillId="0" borderId="0" xfId="0" applyNumberFormat="1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79" fontId="0" fillId="0" borderId="0" xfId="0" applyNumberFormat="1" applyProtection="1">
      <alignment vertical="center"/>
    </xf>
    <xf numFmtId="0" fontId="0" fillId="2" borderId="2" xfId="0" applyFill="1" applyBorder="1" applyAlignment="1">
      <alignment horizontal="center" vertical="center"/>
    </xf>
    <xf numFmtId="14" fontId="5" fillId="2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쉼표 [0]" xfId="1" builtinId="6"/>
    <cellStyle name="표준" xfId="0" builtinId="0"/>
  </cellStyles>
  <dxfs count="2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5954</xdr:colOff>
      <xdr:row>2</xdr:row>
      <xdr:rowOff>0</xdr:rowOff>
    </xdr:from>
    <xdr:to>
      <xdr:col>7</xdr:col>
      <xdr:colOff>1</xdr:colOff>
      <xdr:row>4</xdr:row>
      <xdr:rowOff>0</xdr:rowOff>
    </xdr:to>
    <xdr:sp macro="[0]!직사각형1_Click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953001" y="416719"/>
          <a:ext cx="1613297" cy="416719"/>
        </a:xfrm>
        <a:prstGeom prst="rect">
          <a:avLst/>
        </a:prstGeom>
        <a:solidFill>
          <a:srgbClr val="000000">
            <a:alpha val="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5954</xdr:colOff>
      <xdr:row>5</xdr:row>
      <xdr:rowOff>0</xdr:rowOff>
    </xdr:from>
    <xdr:to>
      <xdr:col>7</xdr:col>
      <xdr:colOff>1</xdr:colOff>
      <xdr:row>7</xdr:row>
      <xdr:rowOff>0</xdr:rowOff>
    </xdr:to>
    <xdr:sp macro="[0]!직사각형2_Click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53001" y="1041797"/>
          <a:ext cx="1363266" cy="416719"/>
        </a:xfrm>
        <a:prstGeom prst="rect">
          <a:avLst/>
        </a:prstGeom>
        <a:solidFill>
          <a:srgbClr val="000000">
            <a:alpha val="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5954</xdr:colOff>
      <xdr:row>8</xdr:row>
      <xdr:rowOff>0</xdr:rowOff>
    </xdr:from>
    <xdr:to>
      <xdr:col>7</xdr:col>
      <xdr:colOff>1</xdr:colOff>
      <xdr:row>10</xdr:row>
      <xdr:rowOff>0</xdr:rowOff>
    </xdr:to>
    <xdr:sp macro="[0]!직사각형3_Click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953001" y="1666875"/>
          <a:ext cx="1363266" cy="416719"/>
        </a:xfrm>
        <a:prstGeom prst="rect">
          <a:avLst/>
        </a:prstGeom>
        <a:solidFill>
          <a:srgbClr val="000000">
            <a:alpha val="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5443</xdr:colOff>
      <xdr:row>6</xdr:row>
      <xdr:rowOff>10886</xdr:rowOff>
    </xdr:from>
    <xdr:to>
      <xdr:col>7</xdr:col>
      <xdr:colOff>0</xdr:colOff>
      <xdr:row>6</xdr:row>
      <xdr:rowOff>206829</xdr:rowOff>
    </xdr:to>
    <xdr:sp macro="[0]!복무요원명단_직사각형1_Click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722914" y="1284515"/>
          <a:ext cx="1012372" cy="195943"/>
        </a:xfrm>
        <a:prstGeom prst="rect">
          <a:avLst/>
        </a:prstGeom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"/>
  <sheetViews>
    <sheetView tabSelected="1" zoomScale="160" zoomScaleNormal="160" workbookViewId="0">
      <pane ySplit="1" topLeftCell="A2" activePane="bottomLeft" state="frozen"/>
      <selection activeCell="B1" sqref="B1"/>
      <selection pane="bottomLeft" activeCell="F2" sqref="F2"/>
    </sheetView>
  </sheetViews>
  <sheetFormatPr defaultRowHeight="16.5" x14ac:dyDescent="0.3"/>
  <cols>
    <col min="1" max="1" width="13.625" customWidth="1"/>
    <col min="2" max="3" width="15.625" style="1" customWidth="1"/>
    <col min="4" max="4" width="11.125" style="7" bestFit="1" customWidth="1"/>
    <col min="5" max="5" width="9" style="7"/>
    <col min="6" max="7" width="10.625" customWidth="1"/>
    <col min="8" max="8" width="12.625" style="7" customWidth="1"/>
    <col min="9" max="9" width="11.125" bestFit="1" customWidth="1"/>
    <col min="10" max="10" width="15.625" customWidth="1"/>
  </cols>
  <sheetData>
    <row r="1" spans="1:10" x14ac:dyDescent="0.3">
      <c r="A1" s="3" t="s">
        <v>1</v>
      </c>
      <c r="B1" s="6" t="s">
        <v>2</v>
      </c>
      <c r="C1" s="6" t="s">
        <v>3</v>
      </c>
      <c r="D1" s="28" t="s">
        <v>18</v>
      </c>
      <c r="E1" s="10"/>
      <c r="F1" s="45" t="str">
        <f ca="1">MONTH(F2) &amp; "월을 기준으로 하고 있습니다."</f>
        <v>7월을 기준으로 하고 있습니다.</v>
      </c>
      <c r="G1" s="45"/>
      <c r="H1" s="45"/>
      <c r="I1" s="11"/>
    </row>
    <row r="2" spans="1:10" x14ac:dyDescent="0.3">
      <c r="A2" t="str">
        <f>IFERROR(VLOOKUP(ROW(A1),'복무요원 명단'!$A$1:$D$30,2,FALSE),0)</f>
        <v>박성수</v>
      </c>
      <c r="B2" s="1">
        <f>IFERROR(VLOOKUP(ROW(A1),'복무요원 명단'!$A$1:$D$30,3,FALSE),0)</f>
        <v>43293</v>
      </c>
      <c r="C2" s="1">
        <f>IFERROR(VLOOKUP(ROW(A1),'복무요원 명단'!$A$1:$D$30,4,FALSE),0)</f>
        <v>43976</v>
      </c>
      <c r="D2" s="8" t="str">
        <f ca="1">IF(A2=0,0,IF(DATEDIF(B2,$F$2,"m")+DATEDIF(B2,$H$2,"m")=계급표!$E$3,계급표!$D$3,IF(DATEDIF(B2,$F$2,"m")+DATEDIF(B2,$H$2,"m")=계급표!$E$4,계급표!$D$4,IF(DATEDIF(B2,$F$2,"m")+DATEDIF(B2,$H$2,"m")=계급표!$E$5,계급표!$D$5,계급표!$D$2))))</f>
        <v>미진급</v>
      </c>
      <c r="F2" s="20">
        <f ca="1">DATE(YEAR(TODAY()),MONTH(TODAY())+1,1)</f>
        <v>44013</v>
      </c>
      <c r="G2" s="21"/>
      <c r="H2" s="22">
        <f ca="1">EOMONTH($H$9,0)</f>
        <v>44043</v>
      </c>
    </row>
    <row r="3" spans="1:10" x14ac:dyDescent="0.3">
      <c r="A3" t="str">
        <f>IFERROR(VLOOKUP(ROW(A2),'복무요원 명단'!$A$1:$D$30,2,FALSE),0)</f>
        <v>송찬호 (분할)</v>
      </c>
      <c r="B3" s="1">
        <f>IFERROR(VLOOKUP(ROW(A2),'복무요원 명단'!$A$1:$D$30,3,FALSE),0)</f>
        <v>43161</v>
      </c>
      <c r="C3" s="1">
        <f>IFERROR(VLOOKUP(ROW(A2),'복무요원 명단'!$A$1:$D$30,4,FALSE),0)</f>
        <v>44003</v>
      </c>
      <c r="D3" s="8" t="str">
        <f ca="1">IF(A3=0,0,IF(DATEDIF(B3,$F$2,"m")+DATEDIF(B3,$H$2,"m")=계급표!$E$3,계급표!$D$3,IF(DATEDIF(B3,$F$2,"m")+DATEDIF(B3,$H$2,"m")=계급표!$E$4,계급표!$D$4,IF(DATEDIF(B3,$F$2,"m")+DATEDIF(B3,$H$2,"m")=계급표!$E$5,계급표!$D$5,계급표!$D$2))))</f>
        <v>미진급</v>
      </c>
      <c r="F3" s="46" t="str">
        <f ca="1">MONTH(TODAY())-1 &amp; "월을 기준으로 설정"</f>
        <v>5월을 기준으로 설정</v>
      </c>
      <c r="G3" s="46"/>
      <c r="H3" s="19">
        <f ca="1">DATE(YEAR(TODAY()),MONTH(TODAY())-1,1)</f>
        <v>43952</v>
      </c>
    </row>
    <row r="4" spans="1:10" x14ac:dyDescent="0.3">
      <c r="A4" t="str">
        <f>IFERROR(VLOOKUP(ROW(A3),'복무요원 명단'!$A$1:$D$30,2,FALSE),0)</f>
        <v>김정호</v>
      </c>
      <c r="B4" s="1">
        <f>IFERROR(VLOOKUP(ROW(A3),'복무요원 명단'!$A$1:$D$30,3,FALSE),0)</f>
        <v>43332</v>
      </c>
      <c r="C4" s="1">
        <f>IFERROR(VLOOKUP(ROW(A3),'복무요원 명단'!$A$1:$D$30,4,FALSE),0)</f>
        <v>44012</v>
      </c>
      <c r="D4" s="8" t="str">
        <f ca="1">IF(A4=0,0,IF(DATEDIF(B4,$F$2,"m")+DATEDIF(B4,$H$2,"m")=계급표!$E$3,계급표!$D$3,IF(DATEDIF(B4,$F$2,"m")+DATEDIF(B4,$H$2,"m")=계급표!$E$4,계급표!$D$4,IF(DATEDIF(B4,$F$2,"m")+DATEDIF(B4,$H$2,"m")=계급표!$E$5,계급표!$D$5,계급표!$D$2))))</f>
        <v>미진급</v>
      </c>
      <c r="F4" s="46"/>
      <c r="G4" s="46"/>
      <c r="H4" s="19">
        <f ca="1">EOMONTH($H$3,0)</f>
        <v>43982</v>
      </c>
      <c r="I4" s="1"/>
    </row>
    <row r="5" spans="1:10" x14ac:dyDescent="0.3">
      <c r="A5" t="str">
        <f>IFERROR(VLOOKUP(ROW(A4),'복무요원 명단'!$A$1:$D$30,2,FALSE),0)</f>
        <v>이지훈</v>
      </c>
      <c r="B5" s="1">
        <f>IFERROR(VLOOKUP(ROW(A4),'복무요원 명단'!$A$1:$D$30,3,FALSE),0)</f>
        <v>43377</v>
      </c>
      <c r="C5" s="1">
        <f>IFERROR(VLOOKUP(ROW(A4),'복무요원 명단'!$A$1:$D$30,4,FALSE),0)</f>
        <v>44079</v>
      </c>
      <c r="D5" s="8" t="str">
        <f ca="1">IF(A5=0,0,IF(DATEDIF(B5,$F$2,"m")+DATEDIF(B5,$H$2,"m")=계급표!$E$3,계급표!$D$3,IF(DATEDIF(B5,$F$2,"m")+DATEDIF(B5,$H$2,"m")=계급표!$E$4,계급표!$D$4,IF(DATEDIF(B5,$F$2,"m")+DATEDIF(B5,$H$2,"m")=계급표!$E$5,계급표!$D$5,계급표!$D$2))))</f>
        <v>미진급</v>
      </c>
      <c r="F5" s="17"/>
      <c r="G5" s="17"/>
      <c r="H5" s="17"/>
    </row>
    <row r="6" spans="1:10" x14ac:dyDescent="0.3">
      <c r="A6" t="str">
        <f>IFERROR(VLOOKUP(ROW(A5),'복무요원 명단'!$A$1:$D$30,2,FALSE),0)</f>
        <v>박중재</v>
      </c>
      <c r="B6" s="1">
        <f>IFERROR(VLOOKUP(ROW(A5),'복무요원 명단'!$A$1:$D$30,3,FALSE),0)</f>
        <v>43587</v>
      </c>
      <c r="C6" s="1">
        <f>IFERROR(VLOOKUP(ROW(A5),'복무요원 명단'!$A$1:$D$30,4,FALSE),0)</f>
        <v>44249</v>
      </c>
      <c r="D6" s="8" t="str">
        <f ca="1">IF(A6=0,0,IF(DATEDIF(B6,$F$2,"m")+DATEDIF(B6,$H$2,"m")=계급표!$E$3,계급표!$D$3,IF(DATEDIF(B6,$F$2,"m")+DATEDIF(B6,$H$2,"m")=계급표!$E$4,계급표!$D$4,IF(DATEDIF(B6,$F$2,"m")+DATEDIF(B6,$H$2,"m")=계급표!$E$5,계급표!$D$5,계급표!$D$2))))</f>
        <v>미진급</v>
      </c>
      <c r="F6" s="46" t="str">
        <f ca="1">MONTH(TODAY()) &amp; "월을 기준으로 설정"</f>
        <v>6월을 기준으로 설정</v>
      </c>
      <c r="G6" s="46"/>
      <c r="H6" s="19">
        <f ca="1">DATE(YEAR(TODAY()),MONTH(TODAY()),1)</f>
        <v>43983</v>
      </c>
    </row>
    <row r="7" spans="1:10" x14ac:dyDescent="0.3">
      <c r="A7" t="str">
        <f>IFERROR(VLOOKUP(ROW(A6),'복무요원 명단'!$A$1:$D$30,2,FALSE),0)</f>
        <v>모보현</v>
      </c>
      <c r="B7" s="1">
        <f>IFERROR(VLOOKUP(ROW(A6),'복무요원 명단'!$A$1:$D$30,3,FALSE),0)</f>
        <v>43587</v>
      </c>
      <c r="C7" s="1">
        <f>IFERROR(VLOOKUP(ROW(A6),'복무요원 명단'!$A$1:$D$30,4,FALSE),0)</f>
        <v>44249</v>
      </c>
      <c r="D7" s="8" t="str">
        <f ca="1">IF(A7=0,0,IF(DATEDIF(B7,$F$2,"m")+DATEDIF(B7,$H$2,"m")=계급표!$E$3,계급표!$D$3,IF(DATEDIF(B7,$F$2,"m")+DATEDIF(B7,$H$2,"m")=계급표!$E$4,계급표!$D$4,IF(DATEDIF(B7,$F$2,"m")+DATEDIF(B7,$H$2,"m")=계급표!$E$5,계급표!$D$5,계급표!$D$2))))</f>
        <v>미진급</v>
      </c>
      <c r="F7" s="46"/>
      <c r="G7" s="46"/>
      <c r="H7" s="19">
        <f ca="1">EOMONTH($H$6,0)</f>
        <v>44012</v>
      </c>
    </row>
    <row r="8" spans="1:10" x14ac:dyDescent="0.3">
      <c r="A8" t="str">
        <f>IFERROR(VLOOKUP(ROW(A7),'복무요원 명단'!$A$1:$D$30,2,FALSE),0)</f>
        <v>김세혁</v>
      </c>
      <c r="B8" s="1">
        <f>IFERROR(VLOOKUP(ROW(A7),'복무요원 명단'!$A$1:$D$30,3,FALSE),0)</f>
        <v>43801</v>
      </c>
      <c r="C8" s="1">
        <f>IFERROR(VLOOKUP(ROW(A7),'복무요원 명단'!$A$1:$D$30,4,FALSE),0)</f>
        <v>44446</v>
      </c>
      <c r="D8" s="8" t="str">
        <f ca="1">IF(A8=0,0,IF(DATEDIF(B8,$F$2,"m")+DATEDIF(B8,$H$2,"m")=계급표!$E$3,계급표!$D$3,IF(DATEDIF(B8,$F$2,"m")+DATEDIF(B8,$H$2,"m")=계급표!$E$4,계급표!$D$4,IF(DATEDIF(B8,$F$2,"m")+DATEDIF(B8,$H$2,"m")=계급표!$E$5,계급표!$D$5,계급표!$D$2))))</f>
        <v>미진급</v>
      </c>
      <c r="F8" s="17"/>
      <c r="G8" s="17"/>
      <c r="H8" s="17"/>
    </row>
    <row r="9" spans="1:10" x14ac:dyDescent="0.3">
      <c r="A9" t="str">
        <f>IFERROR(VLOOKUP(ROW(A8),'복무요원 명단'!$A$1:$D$30,2,FALSE),0)</f>
        <v>이원채</v>
      </c>
      <c r="B9" s="1">
        <f>IFERROR(VLOOKUP(ROW(A8),'복무요원 명단'!$A$1:$D$30,3,FALSE),0)</f>
        <v>43913</v>
      </c>
      <c r="C9" s="1">
        <f>IFERROR(VLOOKUP(ROW(A8),'복무요원 명단'!$A$1:$D$30,4,FALSE),0)</f>
        <v>44552</v>
      </c>
      <c r="D9" s="8" t="str">
        <f ca="1">IF(A9=0,0,IF(DATEDIF(B9,$F$2,"m")+DATEDIF(B9,$H$2,"m")=계급표!$E$3,계급표!$D$3,IF(DATEDIF(B9,$F$2,"m")+DATEDIF(B9,$H$2,"m")=계급표!$E$4,계급표!$D$4,IF(DATEDIF(B9,$F$2,"m")+DATEDIF(B9,$H$2,"m")=계급표!$E$5,계급표!$D$5,계급표!$D$2))))</f>
        <v>미진급</v>
      </c>
      <c r="F9" s="46" t="str">
        <f ca="1">MONTH(TODAY())+1 &amp; "월을 기준으로 설정"</f>
        <v>7월을 기준으로 설정</v>
      </c>
      <c r="G9" s="46"/>
      <c r="H9" s="18">
        <f ca="1">DATE(YEAR(TODAY()),MONTH(TODAY())+1,1)</f>
        <v>44013</v>
      </c>
    </row>
    <row r="10" spans="1:10" x14ac:dyDescent="0.3">
      <c r="A10" t="str">
        <f>IFERROR(VLOOKUP(ROW(A9),'복무요원 명단'!$A$1:$D$30,2,FALSE),0)</f>
        <v>진제범</v>
      </c>
      <c r="B10" s="1">
        <f>IFERROR(VLOOKUP(ROW(A9),'복무요원 명단'!$A$1:$D$30,3,FALSE),0)</f>
        <v>43966</v>
      </c>
      <c r="C10" s="1">
        <f>IFERROR(VLOOKUP(ROW(A9),'복무요원 명단'!$A$1:$D$30,4,FALSE),0)</f>
        <v>44599</v>
      </c>
      <c r="D10" s="8" t="str">
        <f ca="1">IF(A10=0,0,IF(DATEDIF(B10,$F$2,"m")+DATEDIF(B10,$H$2,"m")=계급표!$E$3,계급표!$D$3,IF(DATEDIF(B10,$F$2,"m")+DATEDIF(B10,$H$2,"m")=계급표!$E$4,계급표!$D$4,IF(DATEDIF(B10,$F$2,"m")+DATEDIF(B10,$H$2,"m")=계급표!$E$5,계급표!$D$5,계급표!$D$2))))</f>
        <v>미진급</v>
      </c>
      <c r="F10" s="46"/>
      <c r="G10" s="46"/>
      <c r="H10" s="18">
        <f ca="1">EOMONTH($H$9,0)</f>
        <v>44043</v>
      </c>
    </row>
    <row r="11" spans="1:10" x14ac:dyDescent="0.3">
      <c r="A11" t="str">
        <f>IFERROR(VLOOKUP(ROW(A10),'복무요원 명단'!$A$1:$D$30,2,FALSE),0)</f>
        <v>이원채(분할)</v>
      </c>
      <c r="B11" s="1">
        <f>IFERROR(VLOOKUP(ROW(A10),'복무요원 명단'!$A$1:$D$30,3,FALSE),0)</f>
        <v>44097</v>
      </c>
      <c r="C11" s="1">
        <f>IFERROR(VLOOKUP(ROW(A10),'복무요원 명단'!$A$1:$D$30,4,FALSE),0)</f>
        <v>44736</v>
      </c>
      <c r="D11" s="8" t="e">
        <f ca="1">IF(A11=0,0,IF(DATEDIF(B11,$F$2,"m")+DATEDIF(B11,$H$2,"m")=계급표!$E$3,계급표!$D$3,IF(DATEDIF(B11,$F$2,"m")+DATEDIF(B11,$H$2,"m")=계급표!$E$4,계급표!$D$4,IF(DATEDIF(B11,$F$2,"m")+DATEDIF(B11,$H$2,"m")=계급표!$E$5,계급표!$D$5,계급표!$D$2))))</f>
        <v>#NUM!</v>
      </c>
      <c r="F11" s="17"/>
      <c r="G11" s="17"/>
      <c r="H11" s="17"/>
    </row>
    <row r="12" spans="1:10" x14ac:dyDescent="0.3">
      <c r="A12">
        <f>IFERROR(VLOOKUP(ROW(A11),'복무요원 명단'!$A$1:$D$30,2,FALSE),0)</f>
        <v>0</v>
      </c>
      <c r="B12" s="1">
        <f>IFERROR(VLOOKUP(ROW(A11),'복무요원 명단'!$A$1:$D$30,3,FALSE),0)</f>
        <v>0</v>
      </c>
      <c r="C12" s="1">
        <f>IFERROR(VLOOKUP(ROW(A11),'복무요원 명단'!$A$1:$D$30,4,FALSE),0)</f>
        <v>0</v>
      </c>
      <c r="D12" s="8">
        <f>IF(A12=0,0,IF(DATEDIF(B12,$F$2,"m")+DATEDIF(B12,$H$2,"m")=계급표!$E$3,계급표!$D$3,IF(DATEDIF(B12,$F$2,"m")+DATEDIF(B12,$H$2,"m")=계급표!$E$4,계급표!$D$4,IF(DATEDIF(B12,$F$2,"m")+DATEDIF(B12,$H$2,"m")=계급표!$E$5,계급표!$D$5,계급표!$D$2))))</f>
        <v>0</v>
      </c>
      <c r="J12" s="7"/>
    </row>
    <row r="13" spans="1:10" x14ac:dyDescent="0.3">
      <c r="A13">
        <f>IFERROR(VLOOKUP(ROW(A12),'복무요원 명단'!$A$1:$D$30,2,FALSE),0)</f>
        <v>0</v>
      </c>
      <c r="B13" s="1">
        <f>IFERROR(VLOOKUP(ROW(A12),'복무요원 명단'!$A$1:$D$30,3,FALSE),0)</f>
        <v>0</v>
      </c>
      <c r="C13" s="1">
        <f>IFERROR(VLOOKUP(ROW(A12),'복무요원 명단'!$A$1:$D$30,4,FALSE),0)</f>
        <v>0</v>
      </c>
      <c r="D13" s="8">
        <f>IF(A13=0,0,IF(DATEDIF(B13,$F$2,"m")+DATEDIF(B13,$H$2,"m")=계급표!$E$3,계급표!$D$3,IF(DATEDIF(B13,$F$2,"m")+DATEDIF(B13,$H$2,"m")=계급표!$E$4,계급표!$D$4,IF(DATEDIF(B13,$F$2,"m")+DATEDIF(B13,$H$2,"m")=계급표!$E$5,계급표!$D$5,계급표!$D$2))))</f>
        <v>0</v>
      </c>
    </row>
    <row r="14" spans="1:10" x14ac:dyDescent="0.3">
      <c r="A14">
        <f>IFERROR(VLOOKUP(ROW(A13),'복무요원 명단'!$A$1:$D$30,2,FALSE),0)</f>
        <v>0</v>
      </c>
      <c r="B14" s="1">
        <f>IFERROR(VLOOKUP(ROW(A13),'복무요원 명단'!$A$1:$D$30,3,FALSE),0)</f>
        <v>0</v>
      </c>
      <c r="C14" s="1">
        <f>IFERROR(VLOOKUP(ROW(A13),'복무요원 명단'!$A$1:$D$30,4,FALSE),0)</f>
        <v>0</v>
      </c>
      <c r="D14" s="8">
        <f>IF(A14=0,0,IF(DATEDIF(B14,$F$2,"m")+DATEDIF(B14,$H$2,"m")=계급표!$E$3,계급표!$D$3,IF(DATEDIF(B14,$F$2,"m")+DATEDIF(B14,$H$2,"m")=계급표!$E$4,계급표!$D$4,IF(DATEDIF(B14,$F$2,"m")+DATEDIF(B14,$H$2,"m")=계급표!$E$5,계급표!$D$5,계급표!$D$2))))</f>
        <v>0</v>
      </c>
    </row>
    <row r="15" spans="1:10" x14ac:dyDescent="0.3">
      <c r="A15">
        <f>IFERROR(VLOOKUP(ROW(A14),'복무요원 명단'!$A$1:$D$30,2,FALSE),0)</f>
        <v>0</v>
      </c>
      <c r="B15" s="1">
        <f>IFERROR(VLOOKUP(ROW(A14),'복무요원 명단'!$A$1:$D$30,3,FALSE),0)</f>
        <v>0</v>
      </c>
      <c r="C15" s="1">
        <f>IFERROR(VLOOKUP(ROW(A14),'복무요원 명단'!$A$1:$D$30,4,FALSE),0)</f>
        <v>0</v>
      </c>
      <c r="D15" s="8">
        <f>IF(A15=0,0,IF(DATEDIF(B15,$F$2,"m")+DATEDIF(B15,$H$2,"m")=계급표!$E$3,계급표!$D$3,IF(DATEDIF(B15,$F$2,"m")+DATEDIF(B15,$H$2,"m")=계급표!$E$4,계급표!$D$4,IF(DATEDIF(B15,$F$2,"m")+DATEDIF(B15,$H$2,"m")=계급표!$E$5,계급표!$D$5,계급표!$D$2))))</f>
        <v>0</v>
      </c>
    </row>
    <row r="16" spans="1:10" x14ac:dyDescent="0.3">
      <c r="A16">
        <f>IFERROR(VLOOKUP(ROW(A15),'복무요원 명단'!$A$1:$D$30,2,FALSE),0)</f>
        <v>0</v>
      </c>
      <c r="B16" s="1">
        <f>IFERROR(VLOOKUP(ROW(A15),'복무요원 명단'!$A$1:$D$30,3,FALSE),0)</f>
        <v>0</v>
      </c>
      <c r="C16" s="1">
        <f>IFERROR(VLOOKUP(ROW(A15),'복무요원 명단'!$A$1:$D$30,4,FALSE),0)</f>
        <v>0</v>
      </c>
      <c r="D16" s="8">
        <f>IF(A16=0,0,IF(DATEDIF(B16,$F$2,"m")+DATEDIF(B16,$H$2,"m")=계급표!$E$3,계급표!$D$3,IF(DATEDIF(B16,$F$2,"m")+DATEDIF(B16,$H$2,"m")=계급표!$E$4,계급표!$D$4,IF(DATEDIF(B16,$F$2,"m")+DATEDIF(B16,$H$2,"m")=계급표!$E$5,계급표!$D$5,계급표!$D$2))))</f>
        <v>0</v>
      </c>
    </row>
    <row r="17" spans="1:4" x14ac:dyDescent="0.3">
      <c r="A17">
        <f>IFERROR(VLOOKUP(ROW(A16),'복무요원 명단'!$A$1:$D$30,2,FALSE),0)</f>
        <v>0</v>
      </c>
      <c r="B17" s="1">
        <f>IFERROR(VLOOKUP(ROW(A16),'복무요원 명단'!$A$1:$D$30,3,FALSE),0)</f>
        <v>0</v>
      </c>
      <c r="C17" s="1">
        <f>IFERROR(VLOOKUP(ROW(A16),'복무요원 명단'!$A$1:$D$30,4,FALSE),0)</f>
        <v>0</v>
      </c>
      <c r="D17" s="8">
        <f>IF(A17=0,0,IF(DATEDIF(B17,$F$2,"m")+DATEDIF(B17,$H$2,"m")=계급표!$E$3,계급표!$D$3,IF(DATEDIF(B17,$F$2,"m")+DATEDIF(B17,$H$2,"m")=계급표!$E$4,계급표!$D$4,IF(DATEDIF(B17,$F$2,"m")+DATEDIF(B17,$H$2,"m")=계급표!$E$5,계급표!$D$5,계급표!$D$2))))</f>
        <v>0</v>
      </c>
    </row>
    <row r="18" spans="1:4" x14ac:dyDescent="0.3">
      <c r="A18">
        <f>IFERROR(VLOOKUP(ROW(A17),'복무요원 명단'!$A$1:$D$30,2,FALSE),0)</f>
        <v>0</v>
      </c>
      <c r="B18" s="1">
        <f>IFERROR(VLOOKUP(ROW(A17),'복무요원 명단'!$A$1:$D$30,3,FALSE),0)</f>
        <v>0</v>
      </c>
      <c r="C18" s="1">
        <f>IFERROR(VLOOKUP(ROW(A17),'복무요원 명단'!$A$1:$D$30,4,FALSE),0)</f>
        <v>0</v>
      </c>
      <c r="D18" s="8">
        <f>IF(A18=0,0,IF(DATEDIF(B18,$F$2,"m")+DATEDIF(B18,$H$2,"m")=계급표!$E$3,계급표!$D$3,IF(DATEDIF(B18,$F$2,"m")+DATEDIF(B18,$H$2,"m")=계급표!$E$4,계급표!$D$4,IF(DATEDIF(B18,$F$2,"m")+DATEDIF(B18,$H$2,"m")=계급표!$E$5,계급표!$D$5,계급표!$D$2))))</f>
        <v>0</v>
      </c>
    </row>
    <row r="19" spans="1:4" x14ac:dyDescent="0.3">
      <c r="A19">
        <f>IFERROR(VLOOKUP(ROW(A18),'복무요원 명단'!$A$1:$D$30,2,FALSE),0)</f>
        <v>0</v>
      </c>
      <c r="B19" s="1">
        <f>IFERROR(VLOOKUP(ROW(A18),'복무요원 명단'!$A$1:$D$30,3,FALSE),0)</f>
        <v>0</v>
      </c>
      <c r="C19" s="1">
        <f>IFERROR(VLOOKUP(ROW(A18),'복무요원 명단'!$A$1:$D$30,4,FALSE),0)</f>
        <v>0</v>
      </c>
      <c r="D19" s="8">
        <f>IF(A19=0,0,IF(DATEDIF(B19,$F$2,"m")+DATEDIF(B19,$H$2,"m")=계급표!$E$3,계급표!$D$3,IF(DATEDIF(B19,$F$2,"m")+DATEDIF(B19,$H$2,"m")=계급표!$E$4,계급표!$D$4,IF(DATEDIF(B19,$F$2,"m")+DATEDIF(B19,$H$2,"m")=계급표!$E$5,계급표!$D$5,계급표!$D$2))))</f>
        <v>0</v>
      </c>
    </row>
    <row r="20" spans="1:4" x14ac:dyDescent="0.3">
      <c r="A20">
        <f>IFERROR(VLOOKUP(ROW(A19),'복무요원 명단'!$A$1:$D$30,2,FALSE),0)</f>
        <v>0</v>
      </c>
      <c r="B20" s="1">
        <f>IFERROR(VLOOKUP(ROW(A19),'복무요원 명단'!$A$1:$D$30,3,FALSE),0)</f>
        <v>0</v>
      </c>
      <c r="C20" s="1">
        <f>IFERROR(VLOOKUP(ROW(A19),'복무요원 명단'!$A$1:$D$30,4,FALSE),0)</f>
        <v>0</v>
      </c>
      <c r="D20" s="8">
        <f>IF(A20=0,0,IF(DATEDIF(B20,$F$2,"m")+DATEDIF(B20,$H$2,"m")=계급표!$E$3,계급표!$D$3,IF(DATEDIF(B20,$F$2,"m")+DATEDIF(B20,$H$2,"m")=계급표!$E$4,계급표!$D$4,IF(DATEDIF(B20,$F$2,"m")+DATEDIF(B20,$H$2,"m")=계급표!$E$5,계급표!$D$5,계급표!$D$2))))</f>
        <v>0</v>
      </c>
    </row>
    <row r="21" spans="1:4" x14ac:dyDescent="0.3">
      <c r="A21">
        <f>IFERROR(VLOOKUP(ROW(A20),'복무요원 명단'!$A$1:$D$30,2,FALSE),0)</f>
        <v>0</v>
      </c>
      <c r="B21" s="1">
        <f>IFERROR(VLOOKUP(ROW(A20),'복무요원 명단'!$A$1:$D$30,3,FALSE),0)</f>
        <v>0</v>
      </c>
      <c r="C21" s="1">
        <f>IFERROR(VLOOKUP(ROW(A20),'복무요원 명단'!$A$1:$D$30,4,FALSE),0)</f>
        <v>0</v>
      </c>
      <c r="D21" s="8">
        <f>IF(A21=0,0,IF(DATEDIF(B21,$F$2,"m")+DATEDIF(B21,$H$2,"m")=계급표!$E$3,계급표!$D$3,IF(DATEDIF(B21,$F$2,"m")+DATEDIF(B21,$H$2,"m")=계급표!$E$4,계급표!$D$4,IF(DATEDIF(B21,$F$2,"m")+DATEDIF(B21,$H$2,"m")=계급표!$E$5,계급표!$D$5,계급표!$D$2))))</f>
        <v>0</v>
      </c>
    </row>
    <row r="22" spans="1:4" x14ac:dyDescent="0.3">
      <c r="A22">
        <f>IFERROR(VLOOKUP(ROW(A21),'복무요원 명단'!$A$1:$D$30,2,FALSE),0)</f>
        <v>0</v>
      </c>
      <c r="B22" s="1">
        <f>IFERROR(VLOOKUP(ROW(A21),'복무요원 명단'!$A$1:$D$30,3,FALSE),0)</f>
        <v>0</v>
      </c>
      <c r="C22" s="1">
        <f>IFERROR(VLOOKUP(ROW(A21),'복무요원 명단'!$A$1:$D$30,4,FALSE),0)</f>
        <v>0</v>
      </c>
      <c r="D22" s="8">
        <f>IF(A22=0,0,IF(DATEDIF(B22,$F$2,"m")+DATEDIF(B22,$H$2,"m")=계급표!$E$3,계급표!$D$3,IF(DATEDIF(B22,$F$2,"m")+DATEDIF(B22,$H$2,"m")=계급표!$E$4,계급표!$D$4,IF(DATEDIF(B22,$F$2,"m")+DATEDIF(B22,$H$2,"m")=계급표!$E$5,계급표!$D$5,계급표!$D$2))))</f>
        <v>0</v>
      </c>
    </row>
    <row r="23" spans="1:4" x14ac:dyDescent="0.3">
      <c r="A23">
        <f>IFERROR(VLOOKUP(ROW(A22),'복무요원 명단'!$A$1:$D$30,2,FALSE),0)</f>
        <v>0</v>
      </c>
      <c r="B23" s="1">
        <f>IFERROR(VLOOKUP(ROW(A22),'복무요원 명단'!$A$1:$D$30,3,FALSE),0)</f>
        <v>0</v>
      </c>
      <c r="C23" s="1">
        <f>IFERROR(VLOOKUP(ROW(A22),'복무요원 명단'!$A$1:$D$30,4,FALSE),0)</f>
        <v>0</v>
      </c>
      <c r="D23" s="8">
        <f>IF(A23=0,0,IF(DATEDIF(B23,$F$2,"m")+DATEDIF(B23,$H$2,"m")=계급표!$E$3,계급표!$D$3,IF(DATEDIF(B23,$F$2,"m")+DATEDIF(B23,$H$2,"m")=계급표!$E$4,계급표!$D$4,IF(DATEDIF(B23,$F$2,"m")+DATEDIF(B23,$H$2,"m")=계급표!$E$5,계급표!$D$5,계급표!$D$2))))</f>
        <v>0</v>
      </c>
    </row>
    <row r="24" spans="1:4" x14ac:dyDescent="0.3">
      <c r="A24">
        <f>IFERROR(VLOOKUP(ROW(A23),'복무요원 명단'!$A$1:$D$30,2,FALSE),0)</f>
        <v>0</v>
      </c>
      <c r="B24" s="1">
        <f>IFERROR(VLOOKUP(ROW(A23),'복무요원 명단'!$A$1:$D$30,3,FALSE),0)</f>
        <v>0</v>
      </c>
      <c r="C24" s="1">
        <f>IFERROR(VLOOKUP(ROW(A23),'복무요원 명단'!$A$1:$D$30,4,FALSE),0)</f>
        <v>0</v>
      </c>
      <c r="D24" s="8">
        <f>IF(A24=0,0,IF(DATEDIF(B24,$F$2,"m")+DATEDIF(B24,$H$2,"m")=계급표!$E$3,계급표!$D$3,IF(DATEDIF(B24,$F$2,"m")+DATEDIF(B24,$H$2,"m")=계급표!$E$4,계급표!$D$4,IF(DATEDIF(B24,$F$2,"m")+DATEDIF(B24,$H$2,"m")=계급표!$E$5,계급표!$D$5,계급표!$D$2))))</f>
        <v>0</v>
      </c>
    </row>
    <row r="25" spans="1:4" x14ac:dyDescent="0.3">
      <c r="A25">
        <f>IFERROR(VLOOKUP(ROW(A24),'복무요원 명단'!$A$1:$D$30,2,FALSE),0)</f>
        <v>0</v>
      </c>
      <c r="B25" s="1">
        <f>IFERROR(VLOOKUP(ROW(A24),'복무요원 명단'!$A$1:$D$30,3,FALSE),0)</f>
        <v>0</v>
      </c>
      <c r="C25" s="1">
        <f>IFERROR(VLOOKUP(ROW(A24),'복무요원 명단'!$A$1:$D$30,4,FALSE),0)</f>
        <v>0</v>
      </c>
      <c r="D25" s="8">
        <f>IF(A25=0,0,IF(DATEDIF(B25,$F$2,"m")+DATEDIF(B25,$H$2,"m")=계급표!$E$3,계급표!$D$3,IF(DATEDIF(B25,$F$2,"m")+DATEDIF(B25,$H$2,"m")=계급표!$E$4,계급표!$D$4,IF(DATEDIF(B25,$F$2,"m")+DATEDIF(B25,$H$2,"m")=계급표!$E$5,계급표!$D$5,계급표!$D$2))))</f>
        <v>0</v>
      </c>
    </row>
    <row r="26" spans="1:4" x14ac:dyDescent="0.3">
      <c r="A26">
        <f>IFERROR(VLOOKUP(ROW(A25),'복무요원 명단'!$A$1:$D$30,2,FALSE),0)</f>
        <v>0</v>
      </c>
      <c r="B26" s="1">
        <f>IFERROR(VLOOKUP(ROW(A25),'복무요원 명단'!$A$1:$D$30,3,FALSE),0)</f>
        <v>0</v>
      </c>
      <c r="C26" s="1">
        <f>IFERROR(VLOOKUP(ROW(A25),'복무요원 명단'!$A$1:$D$30,4,FALSE),0)</f>
        <v>0</v>
      </c>
      <c r="D26" s="8">
        <f>IF(A26=0,0,IF(DATEDIF(B26,$F$2,"m")+DATEDIF(B26,$H$2,"m")=계급표!$E$3,계급표!$D$3,IF(DATEDIF(B26,$F$2,"m")+DATEDIF(B26,$H$2,"m")=계급표!$E$4,계급표!$D$4,IF(DATEDIF(B26,$F$2,"m")+DATEDIF(B26,$H$2,"m")=계급표!$E$5,계급표!$D$5,계급표!$D$2))))</f>
        <v>0</v>
      </c>
    </row>
    <row r="27" spans="1:4" x14ac:dyDescent="0.3">
      <c r="A27">
        <f>IFERROR(VLOOKUP(ROW(A26),'복무요원 명단'!$A$1:$D$30,2,FALSE),0)</f>
        <v>0</v>
      </c>
      <c r="B27" s="1">
        <f>IFERROR(VLOOKUP(ROW(A26),'복무요원 명단'!$A$1:$D$30,3,FALSE),0)</f>
        <v>0</v>
      </c>
      <c r="C27" s="1">
        <f>IFERROR(VLOOKUP(ROW(A26),'복무요원 명단'!$A$1:$D$30,4,FALSE),0)</f>
        <v>0</v>
      </c>
      <c r="D27" s="8">
        <f>IF(A27=0,0,IF(DATEDIF(B27,$F$2,"m")+DATEDIF(B27,$H$2,"m")=계급표!$E$3,계급표!$D$3,IF(DATEDIF(B27,$F$2,"m")+DATEDIF(B27,$H$2,"m")=계급표!$E$4,계급표!$D$4,IF(DATEDIF(B27,$F$2,"m")+DATEDIF(B27,$H$2,"m")=계급표!$E$5,계급표!$D$5,계급표!$D$2))))</f>
        <v>0</v>
      </c>
    </row>
    <row r="28" spans="1:4" x14ac:dyDescent="0.3">
      <c r="A28">
        <f>IFERROR(VLOOKUP(ROW(A27),'복무요원 명단'!$A$1:$D$30,2,FALSE),0)</f>
        <v>0</v>
      </c>
      <c r="B28" s="1">
        <f>IFERROR(VLOOKUP(ROW(A27),'복무요원 명단'!$A$1:$D$30,3,FALSE),0)</f>
        <v>0</v>
      </c>
      <c r="C28" s="1">
        <f>IFERROR(VLOOKUP(ROW(A27),'복무요원 명단'!$A$1:$D$30,4,FALSE),0)</f>
        <v>0</v>
      </c>
      <c r="D28" s="8">
        <f>IF(A28=0,0,IF(DATEDIF(B28,$F$2,"m")+DATEDIF(B28,$H$2,"m")=계급표!$E$3,계급표!$D$3,IF(DATEDIF(B28,$F$2,"m")+DATEDIF(B28,$H$2,"m")=계급표!$E$4,계급표!$D$4,IF(DATEDIF(B28,$F$2,"m")+DATEDIF(B28,$H$2,"m")=계급표!$E$5,계급표!$D$5,계급표!$D$2))))</f>
        <v>0</v>
      </c>
    </row>
    <row r="29" spans="1:4" x14ac:dyDescent="0.3">
      <c r="A29">
        <f>IFERROR(VLOOKUP(ROW(A28),'복무요원 명단'!$A$1:$D$30,2,FALSE),0)</f>
        <v>0</v>
      </c>
      <c r="B29" s="1">
        <f>IFERROR(VLOOKUP(ROW(A28),'복무요원 명단'!$A$1:$D$30,3,FALSE),0)</f>
        <v>0</v>
      </c>
      <c r="C29" s="1">
        <f>IFERROR(VLOOKUP(ROW(A28),'복무요원 명단'!$A$1:$D$30,4,FALSE),0)</f>
        <v>0</v>
      </c>
      <c r="D29" s="8">
        <f>IF(A29=0,0,IF(DATEDIF(B29,$F$2,"m")+DATEDIF(B29,$H$2,"m")=계급표!$E$3,계급표!$D$3,IF(DATEDIF(B29,$F$2,"m")+DATEDIF(B29,$H$2,"m")=계급표!$E$4,계급표!$D$4,IF(DATEDIF(B29,$F$2,"m")+DATEDIF(B29,$H$2,"m")=계급표!$E$5,계급표!$D$5,계급표!$D$2))))</f>
        <v>0</v>
      </c>
    </row>
    <row r="30" spans="1:4" x14ac:dyDescent="0.3">
      <c r="A30">
        <f>IFERROR(VLOOKUP(ROW(A29),'복무요원 명단'!$A$1:$D$30,2,FALSE),0)</f>
        <v>0</v>
      </c>
      <c r="B30" s="1">
        <f>IFERROR(VLOOKUP(ROW(A29),'복무요원 명단'!$A$1:$D$30,3,FALSE),0)</f>
        <v>0</v>
      </c>
      <c r="C30" s="1">
        <f>IFERROR(VLOOKUP(ROW(A29),'복무요원 명단'!$A$1:$D$30,4,FALSE),0)</f>
        <v>0</v>
      </c>
      <c r="D30" s="8">
        <f>IF(A30=0,0,IF(DATEDIF(B30,$F$2,"m")+DATEDIF(B30,$H$2,"m")=계급표!$E$3,계급표!$D$3,IF(DATEDIF(B30,$F$2,"m")+DATEDIF(B30,$H$2,"m")=계급표!$E$4,계급표!$D$4,IF(DATEDIF(B30,$F$2,"m")+DATEDIF(B30,$H$2,"m")=계급표!$E$5,계급표!$D$5,계급표!$D$2))))</f>
        <v>0</v>
      </c>
    </row>
  </sheetData>
  <sheetProtection password="C4AC" sheet="1" objects="1" scenarios="1" selectLockedCells="1" selectUnlockedCells="1"/>
  <mergeCells count="4">
    <mergeCell ref="F1:H1"/>
    <mergeCell ref="F3:G4"/>
    <mergeCell ref="F6:G7"/>
    <mergeCell ref="F9:G10"/>
  </mergeCells>
  <phoneticPr fontId="2" type="noConversion"/>
  <conditionalFormatting sqref="A2:D30">
    <cfRule type="cellIs" dxfId="19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D99E054D-926B-4977-90B8-8ABF3EA52D27}">
            <xm:f>D2=계급표!$D$5</xm:f>
            <x14:dxf>
              <fill>
                <patternFill>
                  <bgColor theme="9"/>
                </patternFill>
              </fill>
            </x14:dxf>
          </x14:cfRule>
          <x14:cfRule type="expression" priority="12" id="{6B5A3E59-6C9C-4005-AEA6-F365FB80E613}">
            <xm:f>D2=계급표!$D$4</xm:f>
            <x14:dxf>
              <fill>
                <patternFill>
                  <bgColor theme="9"/>
                </patternFill>
              </fill>
            </x14:dxf>
          </x14:cfRule>
          <x14:cfRule type="expression" priority="13" id="{53E94CB9-9A64-4ECB-B800-06E03E7851DA}">
            <xm:f>D2=계급표!$D$3</xm:f>
            <x14:dxf>
              <fill>
                <patternFill>
                  <bgColor theme="9"/>
                </patternFill>
              </fill>
            </x14:dxf>
          </x14:cfRule>
          <xm:sqref>A2:D30</xm:sqref>
        </x14:conditionalFormatting>
        <x14:conditionalFormatting xmlns:xm="http://schemas.microsoft.com/office/excel/2006/main">
          <x14:cfRule type="expression" priority="8" id="{23BE06F4-DB4B-4A50-9373-CA03422FC843}">
            <xm:f>D2=계급표!$D$5</xm:f>
            <x14:dxf>
              <fill>
                <patternFill>
                  <bgColor theme="9"/>
                </patternFill>
              </fill>
            </x14:dxf>
          </x14:cfRule>
          <x14:cfRule type="expression" priority="9" id="{FDE3EAA8-AEBB-461E-ADE0-A23A19D5D6EF}">
            <xm:f>D2=계급표!$D$4</xm:f>
            <x14:dxf>
              <fill>
                <patternFill>
                  <bgColor theme="9"/>
                </patternFill>
              </fill>
            </x14:dxf>
          </x14:cfRule>
          <x14:cfRule type="expression" priority="10" id="{6B660D9B-BB5E-4E7E-B49D-5B9BD55E3F0A}">
            <xm:f>D2=계급표!$D$3</xm:f>
            <x14:dxf>
              <fill>
                <patternFill>
                  <bgColor theme="9"/>
                </patternFill>
              </fill>
            </x14:dxf>
          </x14:cfRule>
          <xm:sqref>B2:D30</xm:sqref>
        </x14:conditionalFormatting>
        <x14:conditionalFormatting xmlns:xm="http://schemas.microsoft.com/office/excel/2006/main">
          <x14:cfRule type="expression" priority="5" id="{02EA60E5-CB3D-4891-8F57-E3B613B4823C}">
            <xm:f>D2=계급표!$D$5</xm:f>
            <x14:dxf>
              <fill>
                <patternFill>
                  <bgColor theme="9"/>
                </patternFill>
              </fill>
            </x14:dxf>
          </x14:cfRule>
          <x14:cfRule type="expression" priority="6" id="{D598A14D-C7C6-4943-8ABB-8BB804EF0785}">
            <xm:f>D2=계급표!$D$4</xm:f>
            <x14:dxf>
              <fill>
                <patternFill>
                  <bgColor theme="9"/>
                </patternFill>
              </fill>
            </x14:dxf>
          </x14:cfRule>
          <x14:cfRule type="expression" priority="7" id="{9A1B20AC-76BD-4055-ABD9-F457C272C5CB}">
            <xm:f>D2=계급표!$D$3</xm:f>
            <x14:dxf>
              <fill>
                <patternFill>
                  <bgColor theme="9"/>
                </patternFill>
              </fill>
            </x14:dxf>
          </x14:cfRule>
          <xm:sqref>C2:D30</xm:sqref>
        </x14:conditionalFormatting>
        <x14:conditionalFormatting xmlns:xm="http://schemas.microsoft.com/office/excel/2006/main">
          <x14:cfRule type="expression" priority="2" id="{E9B17839-7880-4C01-ABBA-E6428AC40AF9}">
            <xm:f>D2=계급표!$D$5</xm:f>
            <x14:dxf>
              <fill>
                <patternFill>
                  <bgColor theme="9"/>
                </patternFill>
              </fill>
            </x14:dxf>
          </x14:cfRule>
          <x14:cfRule type="expression" priority="3" id="{7274C443-D336-4375-9390-982E5ECA7FC3}">
            <xm:f>D2=계급표!$D$4</xm:f>
            <x14:dxf>
              <fill>
                <patternFill>
                  <bgColor theme="9"/>
                </patternFill>
              </fill>
            </x14:dxf>
          </x14:cfRule>
          <x14:cfRule type="expression" priority="4" id="{BDBE0C6E-4AB7-4AC3-AF14-92461993E8C6}">
            <xm:f>D2=계급표!$D$3</xm:f>
            <x14:dxf>
              <fill>
                <patternFill>
                  <bgColor theme="9"/>
                </patternFill>
              </fill>
            </x14:dxf>
          </x14:cfRule>
          <xm:sqref>D2:D30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"/>
  <sheetViews>
    <sheetView topLeftCell="B1" zoomScale="175" zoomScaleNormal="175" workbookViewId="0">
      <pane ySplit="1" topLeftCell="A2" activePane="bottomLeft" state="frozen"/>
      <selection activeCell="B1" sqref="B1"/>
      <selection pane="bottomLeft" activeCell="G4" sqref="G4"/>
    </sheetView>
  </sheetViews>
  <sheetFormatPr defaultRowHeight="16.5" x14ac:dyDescent="0.3"/>
  <cols>
    <col min="1" max="1" width="13.625" hidden="1" customWidth="1"/>
    <col min="2" max="2" width="14.625" customWidth="1"/>
    <col min="3" max="4" width="15.625" style="1" customWidth="1"/>
    <col min="5" max="5" width="14.25" hidden="1" customWidth="1"/>
    <col min="6" max="6" width="2.875" style="23" customWidth="1"/>
    <col min="7" max="7" width="16.625" customWidth="1"/>
    <col min="8" max="8" width="2.375" customWidth="1"/>
    <col min="9" max="9" width="8.625" style="15" customWidth="1"/>
    <col min="10" max="10" width="8.25" style="15" customWidth="1"/>
    <col min="11" max="11" width="8.625" customWidth="1"/>
    <col min="12" max="12" width="3.5" style="15" customWidth="1"/>
    <col min="13" max="14" width="12.625" customWidth="1"/>
  </cols>
  <sheetData>
    <row r="1" spans="1:14" x14ac:dyDescent="0.3">
      <c r="A1" t="s">
        <v>0</v>
      </c>
      <c r="B1" s="4" t="s">
        <v>1</v>
      </c>
      <c r="C1" s="5" t="s">
        <v>2</v>
      </c>
      <c r="D1" s="5" t="s">
        <v>3</v>
      </c>
      <c r="F1" s="31"/>
      <c r="G1" s="27" t="str">
        <f>"현재인원: " &amp; COUNTA(B2:B30) &amp; "명"</f>
        <v>현재인원: 10명</v>
      </c>
      <c r="H1" s="31"/>
      <c r="I1" s="30" t="s">
        <v>22</v>
      </c>
      <c r="J1" s="29" t="s">
        <v>23</v>
      </c>
      <c r="K1" s="29" t="s">
        <v>24</v>
      </c>
      <c r="M1" s="30" t="s">
        <v>27</v>
      </c>
      <c r="N1" s="29" t="s">
        <v>28</v>
      </c>
    </row>
    <row r="2" spans="1:14" x14ac:dyDescent="0.3">
      <c r="A2" s="2">
        <f>RANK(E2,$E$2:$E$30,1)</f>
        <v>1</v>
      </c>
      <c r="B2" s="15" t="s">
        <v>4</v>
      </c>
      <c r="C2" s="16">
        <v>43293</v>
      </c>
      <c r="D2" s="16">
        <v>43976</v>
      </c>
      <c r="E2" s="25">
        <f>IF(D2&gt;1,D2+0.000001)</f>
        <v>43976.000001</v>
      </c>
      <c r="F2" s="24"/>
      <c r="G2" s="33"/>
      <c r="H2" s="32"/>
      <c r="I2" s="24">
        <v>0</v>
      </c>
      <c r="J2" s="24">
        <v>0</v>
      </c>
      <c r="K2" s="24">
        <v>0</v>
      </c>
      <c r="M2" s="15">
        <v>29</v>
      </c>
      <c r="N2" s="15">
        <v>30</v>
      </c>
    </row>
    <row r="3" spans="1:14" x14ac:dyDescent="0.3">
      <c r="A3" s="2">
        <f t="shared" ref="A3:A30" si="0">RANK(E3,$E$2:$E$30,1)</f>
        <v>3</v>
      </c>
      <c r="B3" s="15" t="s">
        <v>5</v>
      </c>
      <c r="C3" s="16">
        <v>43332</v>
      </c>
      <c r="D3" s="16">
        <v>44012</v>
      </c>
      <c r="E3" s="25">
        <f>IF(D3&gt;1,D3+0.000002)</f>
        <v>44012.000002000001</v>
      </c>
      <c r="F3" s="24"/>
      <c r="G3" s="42" t="s">
        <v>30</v>
      </c>
      <c r="I3" s="24">
        <v>0</v>
      </c>
      <c r="J3" s="24">
        <v>0</v>
      </c>
      <c r="K3" s="24">
        <v>0</v>
      </c>
      <c r="M3" s="15">
        <v>29</v>
      </c>
      <c r="N3" s="15">
        <v>30</v>
      </c>
    </row>
    <row r="4" spans="1:14" x14ac:dyDescent="0.3">
      <c r="A4" s="2">
        <f t="shared" si="0"/>
        <v>4</v>
      </c>
      <c r="B4" s="15" t="s">
        <v>6</v>
      </c>
      <c r="C4" s="16">
        <v>43377</v>
      </c>
      <c r="D4" s="16">
        <v>44079</v>
      </c>
      <c r="E4" s="25">
        <f>IF(D4&gt;1,D4+0.000003)</f>
        <v>44079.000003000001</v>
      </c>
      <c r="F4" s="24"/>
      <c r="G4" s="43" t="s">
        <v>36</v>
      </c>
      <c r="I4" s="24">
        <v>0</v>
      </c>
      <c r="J4" s="24">
        <v>0</v>
      </c>
      <c r="K4" s="24">
        <v>0</v>
      </c>
      <c r="M4" s="15">
        <v>29</v>
      </c>
      <c r="N4" s="15">
        <v>30</v>
      </c>
    </row>
    <row r="5" spans="1:14" x14ac:dyDescent="0.3">
      <c r="A5" s="2">
        <f t="shared" si="0"/>
        <v>5</v>
      </c>
      <c r="B5" s="15" t="s">
        <v>19</v>
      </c>
      <c r="C5" s="16">
        <v>43587</v>
      </c>
      <c r="D5" s="16">
        <v>44249</v>
      </c>
      <c r="E5" s="25">
        <f>IF(D5&gt;1,D5+0.000004)</f>
        <v>44249.000004000001</v>
      </c>
      <c r="F5" s="24"/>
      <c r="G5" s="44"/>
      <c r="I5" s="24">
        <v>0</v>
      </c>
      <c r="J5" s="24">
        <v>0</v>
      </c>
      <c r="K5" s="24">
        <v>0</v>
      </c>
      <c r="M5" s="15">
        <v>29</v>
      </c>
      <c r="N5" s="15">
        <v>30</v>
      </c>
    </row>
    <row r="6" spans="1:14" x14ac:dyDescent="0.3">
      <c r="A6" s="2">
        <f t="shared" si="0"/>
        <v>6</v>
      </c>
      <c r="B6" s="15" t="s">
        <v>20</v>
      </c>
      <c r="C6" s="16">
        <v>43587</v>
      </c>
      <c r="D6" s="16">
        <v>44249</v>
      </c>
      <c r="E6" s="25">
        <f>IF(D6&gt;1,D6+0.000005)</f>
        <v>44249.000005000002</v>
      </c>
      <c r="F6" s="24"/>
      <c r="G6" s="6" t="s">
        <v>31</v>
      </c>
      <c r="I6" s="24">
        <v>0</v>
      </c>
      <c r="J6" s="24">
        <v>0</v>
      </c>
      <c r="K6" s="24">
        <v>0</v>
      </c>
      <c r="M6" s="15">
        <v>29</v>
      </c>
      <c r="N6" s="15">
        <v>30</v>
      </c>
    </row>
    <row r="7" spans="1:14" x14ac:dyDescent="0.3">
      <c r="A7" s="2">
        <f t="shared" si="0"/>
        <v>2</v>
      </c>
      <c r="B7" s="15" t="s">
        <v>29</v>
      </c>
      <c r="C7" s="16">
        <v>43161</v>
      </c>
      <c r="D7" s="16">
        <v>44003</v>
      </c>
      <c r="E7" s="25">
        <f>IF(D7&gt;1,D7+0.000006)</f>
        <v>44003.000006000002</v>
      </c>
      <c r="F7" s="24"/>
      <c r="G7" s="1">
        <f ca="1">TODAY()</f>
        <v>43984</v>
      </c>
      <c r="I7" s="24">
        <v>0</v>
      </c>
      <c r="J7" s="24">
        <v>0</v>
      </c>
      <c r="K7" s="24">
        <v>0</v>
      </c>
      <c r="M7" s="15">
        <v>29</v>
      </c>
      <c r="N7" s="15">
        <v>30</v>
      </c>
    </row>
    <row r="8" spans="1:14" x14ac:dyDescent="0.3">
      <c r="A8" s="2">
        <f>RANK(E8,$E$2:$E$30,1)</f>
        <v>8</v>
      </c>
      <c r="B8" s="15" t="s">
        <v>33</v>
      </c>
      <c r="C8" s="16">
        <v>43913</v>
      </c>
      <c r="D8" s="16">
        <v>44552</v>
      </c>
      <c r="E8" s="25">
        <f>IF(D8&gt;1,D8+0.000007)</f>
        <v>44552.000007000002</v>
      </c>
      <c r="F8" s="24"/>
      <c r="I8" s="24">
        <v>0</v>
      </c>
      <c r="J8" s="24">
        <v>0</v>
      </c>
      <c r="K8" s="24">
        <v>0</v>
      </c>
      <c r="M8" s="15">
        <v>29</v>
      </c>
      <c r="N8" s="15">
        <v>30</v>
      </c>
    </row>
    <row r="9" spans="1:14" x14ac:dyDescent="0.3">
      <c r="A9" s="2">
        <f t="shared" si="0"/>
        <v>7</v>
      </c>
      <c r="B9" s="15" t="s">
        <v>32</v>
      </c>
      <c r="C9" s="16">
        <v>43801</v>
      </c>
      <c r="D9" s="16">
        <v>44446</v>
      </c>
      <c r="E9" s="25">
        <f>IF(D9&gt;1,D9+0.000008)</f>
        <v>44446.000008000003</v>
      </c>
      <c r="F9" s="24"/>
      <c r="I9" s="24">
        <v>0</v>
      </c>
      <c r="J9" s="24">
        <v>2</v>
      </c>
      <c r="K9" s="24">
        <v>0</v>
      </c>
      <c r="M9" s="15">
        <v>28</v>
      </c>
      <c r="N9" s="15">
        <v>30</v>
      </c>
    </row>
    <row r="10" spans="1:14" x14ac:dyDescent="0.3">
      <c r="A10" s="2">
        <f t="shared" si="0"/>
        <v>9</v>
      </c>
      <c r="B10" s="15" t="s">
        <v>34</v>
      </c>
      <c r="C10" s="16">
        <v>43966</v>
      </c>
      <c r="D10" s="16">
        <v>44599</v>
      </c>
      <c r="E10" s="25">
        <f>IF(D10&gt;1,D10+0.000009)</f>
        <v>44599.000009000003</v>
      </c>
      <c r="F10" s="24"/>
      <c r="I10" s="24">
        <v>0</v>
      </c>
      <c r="J10" s="24">
        <v>0</v>
      </c>
      <c r="K10" s="24">
        <v>0</v>
      </c>
      <c r="M10" s="15">
        <v>28</v>
      </c>
      <c r="N10" s="15">
        <v>30</v>
      </c>
    </row>
    <row r="11" spans="1:14" x14ac:dyDescent="0.3">
      <c r="A11" s="2">
        <f t="shared" si="0"/>
        <v>10</v>
      </c>
      <c r="B11" s="15" t="s">
        <v>35</v>
      </c>
      <c r="C11" s="16">
        <v>44097</v>
      </c>
      <c r="D11" s="16">
        <v>44736</v>
      </c>
      <c r="E11" s="25">
        <f>IF(D11&gt;1,D11+0.00001)</f>
        <v>44736.000010000003</v>
      </c>
      <c r="F11" s="24"/>
      <c r="I11" s="24"/>
      <c r="J11" s="24"/>
      <c r="K11" s="24"/>
      <c r="M11" s="15"/>
      <c r="N11" s="15"/>
    </row>
    <row r="12" spans="1:14" x14ac:dyDescent="0.3">
      <c r="A12" s="2" t="e">
        <f t="shared" si="0"/>
        <v>#N/A</v>
      </c>
      <c r="B12" s="15"/>
      <c r="C12" s="16"/>
      <c r="D12" s="16"/>
      <c r="E12" s="25" t="b">
        <f>IF(D12&gt;1,D12+0.000011)</f>
        <v>0</v>
      </c>
      <c r="I12" s="24"/>
      <c r="J12" s="24"/>
      <c r="K12" s="24"/>
      <c r="M12" s="15"/>
      <c r="N12" s="15"/>
    </row>
    <row r="13" spans="1:14" x14ac:dyDescent="0.3">
      <c r="A13" s="2" t="e">
        <f t="shared" si="0"/>
        <v>#N/A</v>
      </c>
      <c r="B13" s="15"/>
      <c r="C13" s="16"/>
      <c r="D13" s="16"/>
      <c r="E13" s="25" t="b">
        <f>IF(D13&gt;1,D13+0.000012)</f>
        <v>0</v>
      </c>
      <c r="I13" s="24"/>
      <c r="J13" s="24"/>
      <c r="K13" s="24"/>
      <c r="M13" s="15"/>
      <c r="N13" s="15"/>
    </row>
    <row r="14" spans="1:14" x14ac:dyDescent="0.3">
      <c r="A14" s="2" t="e">
        <f t="shared" ref="A14" si="1">RANK(E14,$E$2:$E$30,1)</f>
        <v>#N/A</v>
      </c>
      <c r="B14" s="15"/>
      <c r="C14" s="16"/>
      <c r="D14" s="16"/>
      <c r="E14" s="25" t="b">
        <f>IF(D14&gt;1,D14+0.000013)</f>
        <v>0</v>
      </c>
      <c r="K14" s="15"/>
      <c r="M14" s="15"/>
      <c r="N14" s="15"/>
    </row>
    <row r="15" spans="1:14" x14ac:dyDescent="0.3">
      <c r="A15" s="2" t="e">
        <f t="shared" si="0"/>
        <v>#N/A</v>
      </c>
      <c r="B15" s="15"/>
      <c r="C15" s="16"/>
      <c r="D15" s="16"/>
      <c r="E15" s="25" t="b">
        <f>IF(D15&gt;1,D15+0.000014)</f>
        <v>0</v>
      </c>
      <c r="K15" s="15"/>
      <c r="M15" s="15"/>
      <c r="N15" s="15"/>
    </row>
    <row r="16" spans="1:14" x14ac:dyDescent="0.3">
      <c r="A16" s="2" t="e">
        <f t="shared" si="0"/>
        <v>#N/A</v>
      </c>
      <c r="B16" s="15"/>
      <c r="C16" s="16"/>
      <c r="D16" s="16"/>
      <c r="E16" s="25" t="b">
        <f>IF(D16&gt;1,D16+0.000015)</f>
        <v>0</v>
      </c>
      <c r="K16" s="15"/>
      <c r="M16" s="15"/>
      <c r="N16" s="15"/>
    </row>
    <row r="17" spans="1:14" x14ac:dyDescent="0.3">
      <c r="A17" s="2" t="e">
        <f t="shared" si="0"/>
        <v>#N/A</v>
      </c>
      <c r="B17" s="15"/>
      <c r="C17" s="16"/>
      <c r="D17" s="16"/>
      <c r="E17" s="25" t="b">
        <f>IF(D17&gt;1,D17+0.000016)</f>
        <v>0</v>
      </c>
      <c r="K17" s="15"/>
      <c r="M17" s="15"/>
      <c r="N17" s="15"/>
    </row>
    <row r="18" spans="1:14" x14ac:dyDescent="0.3">
      <c r="A18" s="2" t="e">
        <f t="shared" si="0"/>
        <v>#N/A</v>
      </c>
      <c r="B18" s="15"/>
      <c r="C18" s="16"/>
      <c r="D18" s="16"/>
      <c r="E18" s="25" t="b">
        <f>IF(D18&gt;1,D18+0.000017)</f>
        <v>0</v>
      </c>
      <c r="K18" s="15"/>
      <c r="M18" s="15"/>
      <c r="N18" s="15"/>
    </row>
    <row r="19" spans="1:14" x14ac:dyDescent="0.3">
      <c r="A19" s="2" t="e">
        <f t="shared" si="0"/>
        <v>#N/A</v>
      </c>
      <c r="B19" s="15"/>
      <c r="C19" s="16"/>
      <c r="D19" s="16"/>
      <c r="E19" s="25" t="b">
        <f>IF(D19&gt;1,D19+0.000018)</f>
        <v>0</v>
      </c>
      <c r="K19" s="15"/>
      <c r="M19" s="15"/>
      <c r="N19" s="15"/>
    </row>
    <row r="20" spans="1:14" x14ac:dyDescent="0.3">
      <c r="A20" s="2" t="e">
        <f t="shared" si="0"/>
        <v>#N/A</v>
      </c>
      <c r="B20" s="15"/>
      <c r="C20" s="16"/>
      <c r="D20" s="16"/>
      <c r="E20" s="25" t="b">
        <f>IF(D20&gt;1,D20+0.000019)</f>
        <v>0</v>
      </c>
      <c r="K20" s="15"/>
      <c r="M20" s="15"/>
      <c r="N20" s="15"/>
    </row>
    <row r="21" spans="1:14" x14ac:dyDescent="0.3">
      <c r="A21" s="2" t="e">
        <f t="shared" si="0"/>
        <v>#N/A</v>
      </c>
      <c r="E21" s="25" t="b">
        <f>IF(D21&gt;1,D21+0.00002)</f>
        <v>0</v>
      </c>
      <c r="K21" s="15"/>
      <c r="M21" s="15"/>
      <c r="N21" s="15"/>
    </row>
    <row r="22" spans="1:14" x14ac:dyDescent="0.3">
      <c r="A22" s="2" t="e">
        <f t="shared" si="0"/>
        <v>#N/A</v>
      </c>
      <c r="E22" s="25" t="b">
        <f>IF(D22&gt;1,D22+0.000021)</f>
        <v>0</v>
      </c>
      <c r="K22" s="15"/>
      <c r="M22" s="15"/>
      <c r="N22" s="15"/>
    </row>
    <row r="23" spans="1:14" x14ac:dyDescent="0.3">
      <c r="A23" s="2" t="e">
        <f t="shared" si="0"/>
        <v>#N/A</v>
      </c>
      <c r="E23" s="25" t="b">
        <f>IF(D23&gt;1,D23+0.000022)</f>
        <v>0</v>
      </c>
      <c r="K23" s="15"/>
      <c r="M23" s="15"/>
      <c r="N23" s="15"/>
    </row>
    <row r="24" spans="1:14" x14ac:dyDescent="0.3">
      <c r="A24" s="2" t="e">
        <f t="shared" si="0"/>
        <v>#N/A</v>
      </c>
      <c r="E24" s="25" t="b">
        <f>IF(D24&gt;1,D24+0.000023)</f>
        <v>0</v>
      </c>
      <c r="K24" s="15"/>
      <c r="M24" s="15"/>
      <c r="N24" s="15"/>
    </row>
    <row r="25" spans="1:14" x14ac:dyDescent="0.3">
      <c r="A25" s="2" t="e">
        <f t="shared" si="0"/>
        <v>#N/A</v>
      </c>
      <c r="E25" s="25" t="b">
        <f>IF(D25&gt;1,D25+0.000024)</f>
        <v>0</v>
      </c>
      <c r="K25" s="15"/>
      <c r="M25" s="15"/>
      <c r="N25" s="15"/>
    </row>
    <row r="26" spans="1:14" x14ac:dyDescent="0.3">
      <c r="A26" s="2" t="e">
        <f t="shared" si="0"/>
        <v>#N/A</v>
      </c>
      <c r="E26" s="25" t="b">
        <f>IF(D26&gt;1,D26+0.000025)</f>
        <v>0</v>
      </c>
      <c r="K26" s="15"/>
      <c r="M26" s="15"/>
      <c r="N26" s="15"/>
    </row>
    <row r="27" spans="1:14" x14ac:dyDescent="0.3">
      <c r="A27" s="2" t="e">
        <f t="shared" si="0"/>
        <v>#N/A</v>
      </c>
      <c r="E27" s="25" t="b">
        <f>IF(D27&gt;1,D27+0.000026)</f>
        <v>0</v>
      </c>
      <c r="K27" s="15"/>
      <c r="M27" s="15"/>
      <c r="N27" s="15"/>
    </row>
    <row r="28" spans="1:14" x14ac:dyDescent="0.3">
      <c r="A28" s="2" t="e">
        <f t="shared" si="0"/>
        <v>#N/A</v>
      </c>
      <c r="E28" s="25" t="b">
        <f>IF(D28&gt;1,D28+0.000027)</f>
        <v>0</v>
      </c>
      <c r="K28" s="15"/>
      <c r="M28" s="15"/>
      <c r="N28" s="15"/>
    </row>
    <row r="29" spans="1:14" x14ac:dyDescent="0.3">
      <c r="A29" s="2" t="e">
        <f t="shared" si="0"/>
        <v>#N/A</v>
      </c>
      <c r="E29" s="25" t="b">
        <f>IF(D29&gt;1,D29+0.000028)</f>
        <v>0</v>
      </c>
      <c r="K29" s="15"/>
      <c r="M29" s="15"/>
      <c r="N29" s="15"/>
    </row>
    <row r="30" spans="1:14" x14ac:dyDescent="0.3">
      <c r="A30" s="2" t="e">
        <f t="shared" si="0"/>
        <v>#N/A</v>
      </c>
      <c r="E30" s="25" t="b">
        <f>IF(D30&gt;1,D30+0.000029)</f>
        <v>0</v>
      </c>
      <c r="K30" s="15"/>
      <c r="M30" s="15"/>
      <c r="N30" s="15"/>
    </row>
  </sheetData>
  <sheetProtection password="C4AC" sheet="1" objects="1" scenarios="1" selectLockedCell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J30"/>
  <sheetViews>
    <sheetView zoomScale="220" zoomScaleNormal="220" workbookViewId="0"/>
  </sheetViews>
  <sheetFormatPr defaultColWidth="9" defaultRowHeight="16.5" x14ac:dyDescent="0.3"/>
  <cols>
    <col min="1" max="1" width="13.125" style="13" customWidth="1"/>
    <col min="2" max="2" width="7.625" style="34" customWidth="1"/>
    <col min="3" max="3" width="7.5" style="34" customWidth="1"/>
    <col min="4" max="4" width="7.875" style="34" customWidth="1"/>
    <col min="5" max="5" width="3.125" style="37" customWidth="1"/>
    <col min="6" max="6" width="9.75" style="41" bestFit="1" customWidth="1"/>
    <col min="7" max="7" width="9" style="34"/>
    <col min="8" max="8" width="3.125" style="34" customWidth="1"/>
    <col min="9" max="9" width="13.75" style="13" customWidth="1"/>
    <col min="10" max="10" width="13" style="13" customWidth="1"/>
    <col min="11" max="16384" width="9" style="13"/>
  </cols>
  <sheetData>
    <row r="1" spans="1:10" x14ac:dyDescent="0.3">
      <c r="A1" s="38" t="s">
        <v>1</v>
      </c>
      <c r="B1" s="29" t="s">
        <v>22</v>
      </c>
      <c r="C1" s="29" t="s">
        <v>23</v>
      </c>
      <c r="D1" s="29" t="s">
        <v>24</v>
      </c>
      <c r="E1" s="39"/>
      <c r="F1" s="30" t="s">
        <v>25</v>
      </c>
      <c r="G1" s="29" t="s">
        <v>26</v>
      </c>
      <c r="H1" s="40"/>
      <c r="I1" s="30" t="s">
        <v>27</v>
      </c>
      <c r="J1" s="29" t="s">
        <v>28</v>
      </c>
    </row>
    <row r="2" spans="1:10" ht="16.5" customHeight="1" x14ac:dyDescent="0.3">
      <c r="A2" s="13" t="str">
        <f>IFERROR(VLOOKUP(ROW(A1),'복무요원 명단'!$A$1:$D$30,2,FALSE),0)</f>
        <v>박성수</v>
      </c>
      <c r="B2" s="34">
        <f>IFERROR(VLOOKUP(ROW(A1),'복무요원 명단'!$A$1:$N$30,9,FALSE),"없음")</f>
        <v>0</v>
      </c>
      <c r="C2" s="34">
        <f>IFERROR(VLOOKUP(ROW(B1),'복무요원 명단'!$A$1:$N$30,10,FALSE),"없음")</f>
        <v>0</v>
      </c>
      <c r="D2" s="34">
        <f>IFERROR(VLOOKUP(ROW(C1),'복무요원 명단'!$A$1:$N$30,11,FALSE),"없음")</f>
        <v>0</v>
      </c>
      <c r="E2" s="35"/>
      <c r="F2" s="36">
        <f>IF($A2=0,"없음",$B2+$C2*0.5)</f>
        <v>0</v>
      </c>
      <c r="G2" s="34">
        <f>IF($A2=0,"없음",$D2)</f>
        <v>0</v>
      </c>
      <c r="H2" s="37"/>
      <c r="I2" s="13">
        <f>IFERROR(VLOOKUP(ROW(A1),'복무요원 명단'!$A$1:$N$30,13,FALSE),0)</f>
        <v>29</v>
      </c>
      <c r="J2" s="13">
        <f>IFERROR(VLOOKUP(ROW(B1),'복무요원 명단'!$A$1:$N$30,14,FALSE),0)</f>
        <v>30</v>
      </c>
    </row>
    <row r="3" spans="1:10" ht="16.5" customHeight="1" x14ac:dyDescent="0.3">
      <c r="A3" s="13" t="str">
        <f>IFERROR(VLOOKUP(ROW(A2),'복무요원 명단'!$A$1:$D$30,2,FALSE),0)</f>
        <v>송찬호 (분할)</v>
      </c>
      <c r="B3" s="34">
        <f>IFERROR(VLOOKUP(ROW(A2),'복무요원 명단'!$A$1:$N$30,9,FALSE),"없음")</f>
        <v>0</v>
      </c>
      <c r="C3" s="34">
        <f>IFERROR(VLOOKUP(ROW(B2),'복무요원 명단'!$A$1:$N$30,10,FALSE),"없음")</f>
        <v>0</v>
      </c>
      <c r="D3" s="34">
        <f>IFERROR(VLOOKUP(ROW(C2),'복무요원 명단'!$A$1:$N$30,11,FALSE),"없음")</f>
        <v>0</v>
      </c>
      <c r="E3" s="35"/>
      <c r="F3" s="36">
        <f t="shared" ref="F3:F30" si="0">IF($A3=0,"없음",$B3+$C3*0.5)</f>
        <v>0</v>
      </c>
      <c r="G3" s="34">
        <f t="shared" ref="G3:G30" si="1">IF($A3=0,"없음",$D3)</f>
        <v>0</v>
      </c>
      <c r="H3" s="37"/>
      <c r="I3" s="13">
        <f>IFERROR(VLOOKUP(ROW(A2),'복무요원 명단'!$A$1:$N$30,13,FALSE),0)</f>
        <v>29</v>
      </c>
      <c r="J3" s="13">
        <f>IFERROR(VLOOKUP(ROW(B2),'복무요원 명단'!$A$1:$N$30,14,FALSE),0)</f>
        <v>30</v>
      </c>
    </row>
    <row r="4" spans="1:10" ht="16.5" customHeight="1" x14ac:dyDescent="0.3">
      <c r="A4" s="13" t="str">
        <f>IFERROR(VLOOKUP(ROW(A3),'복무요원 명단'!$A$1:$D$30,2,FALSE),0)</f>
        <v>김정호</v>
      </c>
      <c r="B4" s="34">
        <f>IFERROR(VLOOKUP(ROW(A3),'복무요원 명단'!$A$1:$N$30,9,FALSE),"없음")</f>
        <v>0</v>
      </c>
      <c r="C4" s="34">
        <f>IFERROR(VLOOKUP(ROW(B3),'복무요원 명단'!$A$1:$N$30,10,FALSE),"없음")</f>
        <v>0</v>
      </c>
      <c r="D4" s="34">
        <f>IFERROR(VLOOKUP(ROW(C3),'복무요원 명단'!$A$1:$N$30,11,FALSE),"없음")</f>
        <v>0</v>
      </c>
      <c r="E4" s="35"/>
      <c r="F4" s="36">
        <f t="shared" si="0"/>
        <v>0</v>
      </c>
      <c r="G4" s="34">
        <f t="shared" si="1"/>
        <v>0</v>
      </c>
      <c r="H4" s="37"/>
      <c r="I4" s="13">
        <f>IFERROR(VLOOKUP(ROW(A3),'복무요원 명단'!$A$1:$N$30,13,FALSE),0)</f>
        <v>29</v>
      </c>
      <c r="J4" s="13">
        <f>IFERROR(VLOOKUP(ROW(B3),'복무요원 명단'!$A$1:$N$30,14,FALSE),0)</f>
        <v>30</v>
      </c>
    </row>
    <row r="5" spans="1:10" ht="16.5" customHeight="1" x14ac:dyDescent="0.3">
      <c r="A5" s="13" t="str">
        <f>IFERROR(VLOOKUP(ROW(A4),'복무요원 명단'!$A$1:$D$30,2,FALSE),0)</f>
        <v>이지훈</v>
      </c>
      <c r="B5" s="34">
        <f>IFERROR(VLOOKUP(ROW(A4),'복무요원 명단'!$A$1:$N$30,9,FALSE),"없음")</f>
        <v>0</v>
      </c>
      <c r="C5" s="34">
        <f>IFERROR(VLOOKUP(ROW(B4),'복무요원 명단'!$A$1:$N$30,10,FALSE),"없음")</f>
        <v>0</v>
      </c>
      <c r="D5" s="34">
        <f>IFERROR(VLOOKUP(ROW(C4),'복무요원 명단'!$A$1:$N$30,11,FALSE),"없음")</f>
        <v>0</v>
      </c>
      <c r="E5" s="35"/>
      <c r="F5" s="36">
        <f t="shared" si="0"/>
        <v>0</v>
      </c>
      <c r="G5" s="34">
        <f t="shared" si="1"/>
        <v>0</v>
      </c>
      <c r="H5" s="37"/>
      <c r="I5" s="13">
        <f>IFERROR(VLOOKUP(ROW(A4),'복무요원 명단'!$A$1:$N$30,13,FALSE),0)</f>
        <v>29</v>
      </c>
      <c r="J5" s="13">
        <f>IFERROR(VLOOKUP(ROW(B4),'복무요원 명단'!$A$1:$N$30,14,FALSE),0)</f>
        <v>30</v>
      </c>
    </row>
    <row r="6" spans="1:10" ht="16.5" customHeight="1" x14ac:dyDescent="0.3">
      <c r="A6" s="13" t="str">
        <f>IFERROR(VLOOKUP(ROW(A5),'복무요원 명단'!$A$1:$D$30,2,FALSE),0)</f>
        <v>박중재</v>
      </c>
      <c r="B6" s="34">
        <f>IFERROR(VLOOKUP(ROW(A5),'복무요원 명단'!$A$1:$N$30,9,FALSE),"없음")</f>
        <v>0</v>
      </c>
      <c r="C6" s="34">
        <f>IFERROR(VLOOKUP(ROW(B5),'복무요원 명단'!$A$1:$N$30,10,FALSE),"없음")</f>
        <v>0</v>
      </c>
      <c r="D6" s="34">
        <f>IFERROR(VLOOKUP(ROW(C5),'복무요원 명단'!$A$1:$N$30,11,FALSE),"없음")</f>
        <v>0</v>
      </c>
      <c r="E6" s="35"/>
      <c r="F6" s="36">
        <f t="shared" si="0"/>
        <v>0</v>
      </c>
      <c r="G6" s="34">
        <f t="shared" si="1"/>
        <v>0</v>
      </c>
      <c r="H6" s="37"/>
      <c r="I6" s="13">
        <f>IFERROR(VLOOKUP(ROW(A5),'복무요원 명단'!$A$1:$N$30,13,FALSE),0)</f>
        <v>29</v>
      </c>
      <c r="J6" s="13">
        <f>IFERROR(VLOOKUP(ROW(B5),'복무요원 명단'!$A$1:$N$30,14,FALSE),0)</f>
        <v>30</v>
      </c>
    </row>
    <row r="7" spans="1:10" ht="16.5" customHeight="1" x14ac:dyDescent="0.3">
      <c r="A7" s="13" t="str">
        <f>IFERROR(VLOOKUP(ROW(A6),'복무요원 명단'!$A$1:$D$30,2,FALSE),0)</f>
        <v>모보현</v>
      </c>
      <c r="B7" s="34">
        <f>IFERROR(VLOOKUP(ROW(A6),'복무요원 명단'!$A$1:$N$30,9,FALSE),"없음")</f>
        <v>0</v>
      </c>
      <c r="C7" s="34">
        <f>IFERROR(VLOOKUP(ROW(B6),'복무요원 명단'!$A$1:$N$30,10,FALSE),"없음")</f>
        <v>0</v>
      </c>
      <c r="D7" s="34">
        <f>IFERROR(VLOOKUP(ROW(C6),'복무요원 명단'!$A$1:$N$30,11,FALSE),"없음")</f>
        <v>0</v>
      </c>
      <c r="E7" s="35"/>
      <c r="F7" s="36">
        <f t="shared" si="0"/>
        <v>0</v>
      </c>
      <c r="G7" s="34">
        <f t="shared" si="1"/>
        <v>0</v>
      </c>
      <c r="H7" s="37"/>
      <c r="I7" s="13">
        <f>IFERROR(VLOOKUP(ROW(A6),'복무요원 명단'!$A$1:$N$30,13,FALSE),0)</f>
        <v>29</v>
      </c>
      <c r="J7" s="13">
        <f>IFERROR(VLOOKUP(ROW(B6),'복무요원 명단'!$A$1:$N$30,14,FALSE),0)</f>
        <v>30</v>
      </c>
    </row>
    <row r="8" spans="1:10" ht="16.5" customHeight="1" x14ac:dyDescent="0.3">
      <c r="A8" s="13" t="str">
        <f>IFERROR(VLOOKUP(ROW(A7),'복무요원 명단'!$A$1:$D$30,2,FALSE),0)</f>
        <v>김세혁</v>
      </c>
      <c r="B8" s="34">
        <f>IFERROR(VLOOKUP(ROW(A7),'복무요원 명단'!$A$1:$N$30,9,FALSE),"없음")</f>
        <v>0</v>
      </c>
      <c r="C8" s="34">
        <f>IFERROR(VLOOKUP(ROW(B7),'복무요원 명단'!$A$1:$N$30,10,FALSE),"없음")</f>
        <v>2</v>
      </c>
      <c r="D8" s="34">
        <f>IFERROR(VLOOKUP(ROW(C7),'복무요원 명단'!$A$1:$N$30,11,FALSE),"없음")</f>
        <v>0</v>
      </c>
      <c r="E8" s="35"/>
      <c r="F8" s="36">
        <f t="shared" si="0"/>
        <v>1</v>
      </c>
      <c r="G8" s="34">
        <f t="shared" si="1"/>
        <v>0</v>
      </c>
      <c r="H8" s="37"/>
      <c r="I8" s="13">
        <f>IFERROR(VLOOKUP(ROW(A7),'복무요원 명단'!$A$1:$N$30,13,FALSE),0)</f>
        <v>28</v>
      </c>
      <c r="J8" s="13">
        <f>IFERROR(VLOOKUP(ROW(B7),'복무요원 명단'!$A$1:$N$30,14,FALSE),0)</f>
        <v>30</v>
      </c>
    </row>
    <row r="9" spans="1:10" ht="16.5" customHeight="1" x14ac:dyDescent="0.3">
      <c r="A9" s="13" t="str">
        <f>IFERROR(VLOOKUP(ROW(A8),'복무요원 명단'!$A$1:$D$30,2,FALSE),0)</f>
        <v>이원채</v>
      </c>
      <c r="B9" s="34">
        <f>IFERROR(VLOOKUP(ROW(A8),'복무요원 명단'!$A$1:$N$30,9,FALSE),"없음")</f>
        <v>0</v>
      </c>
      <c r="C9" s="34">
        <f>IFERROR(VLOOKUP(ROW(B8),'복무요원 명단'!$A$1:$N$30,10,FALSE),"없음")</f>
        <v>0</v>
      </c>
      <c r="D9" s="34">
        <f>IFERROR(VLOOKUP(ROW(C8),'복무요원 명단'!$A$1:$N$30,11,FALSE),"없음")</f>
        <v>0</v>
      </c>
      <c r="E9" s="35"/>
      <c r="F9" s="36">
        <f t="shared" si="0"/>
        <v>0</v>
      </c>
      <c r="G9" s="34">
        <f t="shared" si="1"/>
        <v>0</v>
      </c>
      <c r="H9" s="37"/>
      <c r="I9" s="13">
        <f>IFERROR(VLOOKUP(ROW(A8),'복무요원 명단'!$A$1:$N$30,13,FALSE),0)</f>
        <v>29</v>
      </c>
      <c r="J9" s="13">
        <f>IFERROR(VLOOKUP(ROW(B8),'복무요원 명단'!$A$1:$N$30,14,FALSE),0)</f>
        <v>30</v>
      </c>
    </row>
    <row r="10" spans="1:10" ht="16.5" customHeight="1" x14ac:dyDescent="0.3">
      <c r="A10" s="13" t="str">
        <f>IFERROR(VLOOKUP(ROW(A9),'복무요원 명단'!$A$1:$D$30,2,FALSE),0)</f>
        <v>진제범</v>
      </c>
      <c r="B10" s="34">
        <f>IFERROR(VLOOKUP(ROW(A9),'복무요원 명단'!$A$1:$N$30,9,FALSE),"없음")</f>
        <v>0</v>
      </c>
      <c r="C10" s="34">
        <f>IFERROR(VLOOKUP(ROW(B9),'복무요원 명단'!$A$1:$N$30,10,FALSE),"없음")</f>
        <v>0</v>
      </c>
      <c r="D10" s="34">
        <f>IFERROR(VLOOKUP(ROW(C9),'복무요원 명단'!$A$1:$N$30,11,FALSE),"없음")</f>
        <v>0</v>
      </c>
      <c r="E10" s="35"/>
      <c r="F10" s="36">
        <f t="shared" si="0"/>
        <v>0</v>
      </c>
      <c r="G10" s="34">
        <f t="shared" si="1"/>
        <v>0</v>
      </c>
      <c r="H10" s="37"/>
      <c r="I10" s="13">
        <f>IFERROR(VLOOKUP(ROW(A9),'복무요원 명단'!$A$1:$N$30,13,FALSE),0)</f>
        <v>28</v>
      </c>
      <c r="J10" s="13">
        <f>IFERROR(VLOOKUP(ROW(B9),'복무요원 명단'!$A$1:$N$30,14,FALSE),0)</f>
        <v>30</v>
      </c>
    </row>
    <row r="11" spans="1:10" ht="16.5" customHeight="1" x14ac:dyDescent="0.3">
      <c r="A11" s="13" t="str">
        <f>IFERROR(VLOOKUP(ROW(A10),'복무요원 명단'!$A$1:$D$30,2,FALSE),0)</f>
        <v>이원채(분할)</v>
      </c>
      <c r="B11" s="34">
        <f>IFERROR(VLOOKUP(ROW(A10),'복무요원 명단'!$A$1:$N$30,9,FALSE),"없음")</f>
        <v>0</v>
      </c>
      <c r="C11" s="34">
        <f>IFERROR(VLOOKUP(ROW(B10),'복무요원 명단'!$A$1:$N$30,10,FALSE),"없음")</f>
        <v>0</v>
      </c>
      <c r="D11" s="34">
        <f>IFERROR(VLOOKUP(ROW(C10),'복무요원 명단'!$A$1:$N$30,11,FALSE),"없음")</f>
        <v>0</v>
      </c>
      <c r="E11" s="35"/>
      <c r="F11" s="36">
        <f t="shared" si="0"/>
        <v>0</v>
      </c>
      <c r="G11" s="34">
        <f t="shared" si="1"/>
        <v>0</v>
      </c>
      <c r="H11" s="37"/>
      <c r="I11" s="13">
        <f>IFERROR(VLOOKUP(ROW(A10),'복무요원 명단'!$A$1:$N$30,13,FALSE),0)</f>
        <v>0</v>
      </c>
      <c r="J11" s="13">
        <f>IFERROR(VLOOKUP(ROW(B10),'복무요원 명단'!$A$1:$N$30,14,FALSE),0)</f>
        <v>0</v>
      </c>
    </row>
    <row r="12" spans="1:10" ht="16.5" customHeight="1" x14ac:dyDescent="0.3">
      <c r="A12" s="13">
        <f>IFERROR(VLOOKUP(ROW(A11),'복무요원 명단'!$A$1:$D$30,2,FALSE),0)</f>
        <v>0</v>
      </c>
      <c r="B12" s="34" t="str">
        <f>IFERROR(VLOOKUP(ROW(A11),'복무요원 명단'!$A$1:$N$30,9,FALSE),"없음")</f>
        <v>없음</v>
      </c>
      <c r="C12" s="34" t="str">
        <f>IFERROR(VLOOKUP(ROW(B11),'복무요원 명단'!$A$1:$N$30,10,FALSE),"없음")</f>
        <v>없음</v>
      </c>
      <c r="D12" s="34" t="str">
        <f>IFERROR(VLOOKUP(ROW(C11),'복무요원 명단'!$A$1:$N$30,11,FALSE),"없음")</f>
        <v>없음</v>
      </c>
      <c r="E12" s="35"/>
      <c r="F12" s="36" t="str">
        <f t="shared" si="0"/>
        <v>없음</v>
      </c>
      <c r="G12" s="34" t="str">
        <f t="shared" si="1"/>
        <v>없음</v>
      </c>
      <c r="H12" s="37"/>
      <c r="I12" s="13">
        <f>IFERROR(VLOOKUP(ROW(A11),'복무요원 명단'!$A$1:$N$30,13,FALSE),0)</f>
        <v>0</v>
      </c>
      <c r="J12" s="13">
        <f>IFERROR(VLOOKUP(ROW(B11),'복무요원 명단'!$A$1:$N$30,14,FALSE),0)</f>
        <v>0</v>
      </c>
    </row>
    <row r="13" spans="1:10" ht="16.5" customHeight="1" x14ac:dyDescent="0.3">
      <c r="A13" s="13">
        <f>IFERROR(VLOOKUP(ROW(A12),'복무요원 명단'!$A$1:$D$30,2,FALSE),0)</f>
        <v>0</v>
      </c>
      <c r="B13" s="34" t="str">
        <f>IFERROR(VLOOKUP(ROW(A12),'복무요원 명단'!$A$1:$N$30,9,FALSE),"없음")</f>
        <v>없음</v>
      </c>
      <c r="C13" s="34" t="str">
        <f>IFERROR(VLOOKUP(ROW(B12),'복무요원 명단'!$A$1:$N$30,10,FALSE),"없음")</f>
        <v>없음</v>
      </c>
      <c r="D13" s="34" t="str">
        <f>IFERROR(VLOOKUP(ROW(C12),'복무요원 명단'!$A$1:$N$30,11,FALSE),"없음")</f>
        <v>없음</v>
      </c>
      <c r="E13" s="35"/>
      <c r="F13" s="36" t="str">
        <f t="shared" si="0"/>
        <v>없음</v>
      </c>
      <c r="G13" s="34" t="str">
        <f t="shared" si="1"/>
        <v>없음</v>
      </c>
      <c r="H13" s="37"/>
      <c r="I13" s="13">
        <f>IFERROR(VLOOKUP(ROW(A12),'복무요원 명단'!$A$1:$N$30,13,FALSE),0)</f>
        <v>0</v>
      </c>
      <c r="J13" s="13">
        <f>IFERROR(VLOOKUP(ROW(B12),'복무요원 명단'!$A$1:$N$30,14,FALSE),0)</f>
        <v>0</v>
      </c>
    </row>
    <row r="14" spans="1:10" ht="16.5" customHeight="1" x14ac:dyDescent="0.3">
      <c r="A14" s="13">
        <f>IFERROR(VLOOKUP(ROW(A13),'복무요원 명단'!$A$1:$D$30,2,FALSE),0)</f>
        <v>0</v>
      </c>
      <c r="B14" s="34" t="str">
        <f>IFERROR(VLOOKUP(ROW(A13),'복무요원 명단'!$A$1:$N$30,9,FALSE),"없음")</f>
        <v>없음</v>
      </c>
      <c r="C14" s="34" t="str">
        <f>IFERROR(VLOOKUP(ROW(B13),'복무요원 명단'!$A$1:$N$30,10,FALSE),"없음")</f>
        <v>없음</v>
      </c>
      <c r="D14" s="34" t="str">
        <f>IFERROR(VLOOKUP(ROW(C13),'복무요원 명단'!$A$1:$N$30,11,FALSE),"없음")</f>
        <v>없음</v>
      </c>
      <c r="E14" s="35"/>
      <c r="F14" s="36" t="str">
        <f t="shared" si="0"/>
        <v>없음</v>
      </c>
      <c r="G14" s="34" t="str">
        <f t="shared" si="1"/>
        <v>없음</v>
      </c>
      <c r="H14" s="37"/>
      <c r="I14" s="13">
        <f>IFERROR(VLOOKUP(ROW(A13),'복무요원 명단'!$A$1:$N$30,13,FALSE),0)</f>
        <v>0</v>
      </c>
      <c r="J14" s="13">
        <f>IFERROR(VLOOKUP(ROW(B13),'복무요원 명단'!$A$1:$N$30,14,FALSE),0)</f>
        <v>0</v>
      </c>
    </row>
    <row r="15" spans="1:10" ht="16.5" customHeight="1" x14ac:dyDescent="0.3">
      <c r="A15" s="13">
        <f>IFERROR(VLOOKUP(ROW(A14),'복무요원 명단'!$A$1:$D$30,2,FALSE),0)</f>
        <v>0</v>
      </c>
      <c r="B15" s="34" t="str">
        <f>IFERROR(VLOOKUP(ROW(A14),'복무요원 명단'!$A$1:$N$30,9,FALSE),"없음")</f>
        <v>없음</v>
      </c>
      <c r="C15" s="34" t="str">
        <f>IFERROR(VLOOKUP(ROW(B14),'복무요원 명단'!$A$1:$N$30,10,FALSE),"없음")</f>
        <v>없음</v>
      </c>
      <c r="D15" s="34" t="str">
        <f>IFERROR(VLOOKUP(ROW(C14),'복무요원 명단'!$A$1:$N$30,11,FALSE),"없음")</f>
        <v>없음</v>
      </c>
      <c r="E15" s="35"/>
      <c r="F15" s="36" t="str">
        <f t="shared" si="0"/>
        <v>없음</v>
      </c>
      <c r="G15" s="34" t="str">
        <f t="shared" si="1"/>
        <v>없음</v>
      </c>
      <c r="H15" s="37"/>
      <c r="I15" s="13">
        <f>IFERROR(VLOOKUP(ROW(A14),'복무요원 명단'!$A$1:$N$30,13,FALSE),0)</f>
        <v>0</v>
      </c>
      <c r="J15" s="13">
        <f>IFERROR(VLOOKUP(ROW(B14),'복무요원 명단'!$A$1:$N$30,14,FALSE),0)</f>
        <v>0</v>
      </c>
    </row>
    <row r="16" spans="1:10" ht="16.5" customHeight="1" x14ac:dyDescent="0.3">
      <c r="A16" s="13">
        <f>IFERROR(VLOOKUP(ROW(A15),'복무요원 명단'!$A$1:$D$30,2,FALSE),0)</f>
        <v>0</v>
      </c>
      <c r="B16" s="34" t="str">
        <f>IFERROR(VLOOKUP(ROW(A15),'복무요원 명단'!$A$1:$N$30,9,FALSE),"없음")</f>
        <v>없음</v>
      </c>
      <c r="C16" s="34" t="str">
        <f>IFERROR(VLOOKUP(ROW(B15),'복무요원 명단'!$A$1:$N$30,10,FALSE),"없음")</f>
        <v>없음</v>
      </c>
      <c r="D16" s="34" t="str">
        <f>IFERROR(VLOOKUP(ROW(C15),'복무요원 명단'!$A$1:$N$30,11,FALSE),"없음")</f>
        <v>없음</v>
      </c>
      <c r="E16" s="35"/>
      <c r="F16" s="36" t="str">
        <f t="shared" si="0"/>
        <v>없음</v>
      </c>
      <c r="G16" s="34" t="str">
        <f t="shared" si="1"/>
        <v>없음</v>
      </c>
      <c r="H16" s="37"/>
      <c r="I16" s="13">
        <f>IFERROR(VLOOKUP(ROW(A15),'복무요원 명단'!$A$1:$N$30,13,FALSE),0)</f>
        <v>0</v>
      </c>
      <c r="J16" s="13">
        <f>IFERROR(VLOOKUP(ROW(B15),'복무요원 명단'!$A$1:$N$30,14,FALSE),0)</f>
        <v>0</v>
      </c>
    </row>
    <row r="17" spans="1:10" ht="16.5" customHeight="1" x14ac:dyDescent="0.3">
      <c r="A17" s="13">
        <f>IFERROR(VLOOKUP(ROW(A16),'복무요원 명단'!$A$1:$D$30,2,FALSE),0)</f>
        <v>0</v>
      </c>
      <c r="B17" s="34" t="str">
        <f>IFERROR(VLOOKUP(ROW(A16),'복무요원 명단'!$A$1:$N$30,9,FALSE),"없음")</f>
        <v>없음</v>
      </c>
      <c r="C17" s="34" t="str">
        <f>IFERROR(VLOOKUP(ROW(B16),'복무요원 명단'!$A$1:$N$30,10,FALSE),"없음")</f>
        <v>없음</v>
      </c>
      <c r="D17" s="34" t="str">
        <f>IFERROR(VLOOKUP(ROW(C16),'복무요원 명단'!$A$1:$N$30,11,FALSE),"없음")</f>
        <v>없음</v>
      </c>
      <c r="E17" s="35"/>
      <c r="F17" s="36" t="str">
        <f t="shared" si="0"/>
        <v>없음</v>
      </c>
      <c r="G17" s="34" t="str">
        <f t="shared" si="1"/>
        <v>없음</v>
      </c>
      <c r="H17" s="37"/>
      <c r="I17" s="13">
        <f>IFERROR(VLOOKUP(ROW(A16),'복무요원 명단'!$A$1:$N$30,13,FALSE),0)</f>
        <v>0</v>
      </c>
      <c r="J17" s="13">
        <f>IFERROR(VLOOKUP(ROW(B16),'복무요원 명단'!$A$1:$N$30,14,FALSE),0)</f>
        <v>0</v>
      </c>
    </row>
    <row r="18" spans="1:10" x14ac:dyDescent="0.3">
      <c r="A18" s="13">
        <f>IFERROR(VLOOKUP(ROW(A17),'복무요원 명단'!$A$1:$D$30,2,FALSE),0)</f>
        <v>0</v>
      </c>
      <c r="B18" s="34" t="str">
        <f>IFERROR(VLOOKUP(ROW(A17),'복무요원 명단'!$A$1:$N$30,9,FALSE),"없음")</f>
        <v>없음</v>
      </c>
      <c r="C18" s="34" t="str">
        <f>IFERROR(VLOOKUP(ROW(B17),'복무요원 명단'!$A$1:$N$30,10,FALSE),"없음")</f>
        <v>없음</v>
      </c>
      <c r="D18" s="34" t="str">
        <f>IFERROR(VLOOKUP(ROW(C17),'복무요원 명단'!$A$1:$N$30,11,FALSE),"없음")</f>
        <v>없음</v>
      </c>
      <c r="E18" s="35"/>
      <c r="F18" s="36" t="str">
        <f t="shared" si="0"/>
        <v>없음</v>
      </c>
      <c r="G18" s="34" t="str">
        <f t="shared" si="1"/>
        <v>없음</v>
      </c>
      <c r="H18" s="37"/>
      <c r="I18" s="13">
        <f>IFERROR(VLOOKUP(ROW(A17),'복무요원 명단'!$A$1:$N$30,13,FALSE),0)</f>
        <v>0</v>
      </c>
      <c r="J18" s="13">
        <f>IFERROR(VLOOKUP(ROW(B17),'복무요원 명단'!$A$1:$N$30,14,FALSE),0)</f>
        <v>0</v>
      </c>
    </row>
    <row r="19" spans="1:10" x14ac:dyDescent="0.3">
      <c r="A19" s="13">
        <f>IFERROR(VLOOKUP(ROW(A18),'복무요원 명단'!$A$1:$D$30,2,FALSE),0)</f>
        <v>0</v>
      </c>
      <c r="B19" s="34" t="str">
        <f>IFERROR(VLOOKUP(ROW(A18),'복무요원 명단'!$A$1:$N$30,9,FALSE),"없음")</f>
        <v>없음</v>
      </c>
      <c r="C19" s="34" t="str">
        <f>IFERROR(VLOOKUP(ROW(B18),'복무요원 명단'!$A$1:$N$30,10,FALSE),"없음")</f>
        <v>없음</v>
      </c>
      <c r="D19" s="34" t="str">
        <f>IFERROR(VLOOKUP(ROW(C18),'복무요원 명단'!$A$1:$N$30,11,FALSE),"없음")</f>
        <v>없음</v>
      </c>
      <c r="E19" s="35"/>
      <c r="F19" s="36" t="str">
        <f t="shared" si="0"/>
        <v>없음</v>
      </c>
      <c r="G19" s="34" t="str">
        <f t="shared" si="1"/>
        <v>없음</v>
      </c>
      <c r="H19" s="37"/>
      <c r="I19" s="13">
        <f>IFERROR(VLOOKUP(ROW(A18),'복무요원 명단'!$A$1:$N$30,13,FALSE),0)</f>
        <v>0</v>
      </c>
      <c r="J19" s="13">
        <f>IFERROR(VLOOKUP(ROW(B18),'복무요원 명단'!$A$1:$N$30,14,FALSE),0)</f>
        <v>0</v>
      </c>
    </row>
    <row r="20" spans="1:10" x14ac:dyDescent="0.3">
      <c r="A20" s="13">
        <f>IFERROR(VLOOKUP(ROW(A19),'복무요원 명단'!$A$1:$D$30,2,FALSE),0)</f>
        <v>0</v>
      </c>
      <c r="B20" s="34" t="str">
        <f>IFERROR(VLOOKUP(ROW(A19),'복무요원 명단'!$A$1:$N$30,9,FALSE),"없음")</f>
        <v>없음</v>
      </c>
      <c r="C20" s="34" t="str">
        <f>IFERROR(VLOOKUP(ROW(B19),'복무요원 명단'!$A$1:$N$30,10,FALSE),"없음")</f>
        <v>없음</v>
      </c>
      <c r="D20" s="34" t="str">
        <f>IFERROR(VLOOKUP(ROW(C19),'복무요원 명단'!$A$1:$N$30,11,FALSE),"없음")</f>
        <v>없음</v>
      </c>
      <c r="E20" s="35"/>
      <c r="F20" s="36" t="str">
        <f t="shared" si="0"/>
        <v>없음</v>
      </c>
      <c r="G20" s="34" t="str">
        <f t="shared" si="1"/>
        <v>없음</v>
      </c>
      <c r="H20" s="37"/>
      <c r="I20" s="13">
        <f>IFERROR(VLOOKUP(ROW(A19),'복무요원 명단'!$A$1:$N$30,13,FALSE),0)</f>
        <v>0</v>
      </c>
      <c r="J20" s="13">
        <f>IFERROR(VLOOKUP(ROW(B19),'복무요원 명단'!$A$1:$N$30,14,FALSE),0)</f>
        <v>0</v>
      </c>
    </row>
    <row r="21" spans="1:10" x14ac:dyDescent="0.3">
      <c r="A21" s="13">
        <f>IFERROR(VLOOKUP(ROW(A20),'복무요원 명단'!$A$1:$D$30,2,FALSE),0)</f>
        <v>0</v>
      </c>
      <c r="B21" s="34" t="str">
        <f>IFERROR(VLOOKUP(ROW(A20),'복무요원 명단'!$A$1:$N$30,9,FALSE),"없음")</f>
        <v>없음</v>
      </c>
      <c r="C21" s="34" t="str">
        <f>IFERROR(VLOOKUP(ROW(B20),'복무요원 명단'!$A$1:$N$30,10,FALSE),"없음")</f>
        <v>없음</v>
      </c>
      <c r="D21" s="34" t="str">
        <f>IFERROR(VLOOKUP(ROW(C20),'복무요원 명단'!$A$1:$N$30,11,FALSE),"없음")</f>
        <v>없음</v>
      </c>
      <c r="E21" s="35"/>
      <c r="F21" s="36" t="str">
        <f t="shared" si="0"/>
        <v>없음</v>
      </c>
      <c r="G21" s="34" t="str">
        <f t="shared" si="1"/>
        <v>없음</v>
      </c>
      <c r="H21" s="37"/>
      <c r="I21" s="13">
        <f>IFERROR(VLOOKUP(ROW(A20),'복무요원 명단'!$A$1:$N$30,13,FALSE),0)</f>
        <v>0</v>
      </c>
      <c r="J21" s="13">
        <f>IFERROR(VLOOKUP(ROW(B20),'복무요원 명단'!$A$1:$N$30,14,FALSE),0)</f>
        <v>0</v>
      </c>
    </row>
    <row r="22" spans="1:10" x14ac:dyDescent="0.3">
      <c r="A22" s="13">
        <f>IFERROR(VLOOKUP(ROW(A21),'복무요원 명단'!$A$1:$D$30,2,FALSE),0)</f>
        <v>0</v>
      </c>
      <c r="B22" s="34" t="str">
        <f>IFERROR(VLOOKUP(ROW(A21),'복무요원 명단'!$A$1:$N$30,9,FALSE),"없음")</f>
        <v>없음</v>
      </c>
      <c r="C22" s="34" t="str">
        <f>IFERROR(VLOOKUP(ROW(B21),'복무요원 명단'!$A$1:$N$30,10,FALSE),"없음")</f>
        <v>없음</v>
      </c>
      <c r="D22" s="34" t="str">
        <f>IFERROR(VLOOKUP(ROW(C21),'복무요원 명단'!$A$1:$N$30,11,FALSE),"없음")</f>
        <v>없음</v>
      </c>
      <c r="E22" s="35"/>
      <c r="F22" s="36" t="str">
        <f t="shared" si="0"/>
        <v>없음</v>
      </c>
      <c r="G22" s="34" t="str">
        <f t="shared" si="1"/>
        <v>없음</v>
      </c>
      <c r="H22" s="37"/>
      <c r="I22" s="13">
        <f>IFERROR(VLOOKUP(ROW(A21),'복무요원 명단'!$A$1:$N$30,13,FALSE),0)</f>
        <v>0</v>
      </c>
      <c r="J22" s="13">
        <f>IFERROR(VLOOKUP(ROW(B21),'복무요원 명단'!$A$1:$N$30,14,FALSE),0)</f>
        <v>0</v>
      </c>
    </row>
    <row r="23" spans="1:10" x14ac:dyDescent="0.3">
      <c r="A23" s="13">
        <f>IFERROR(VLOOKUP(ROW(A22),'복무요원 명단'!$A$1:$D$30,2,FALSE),0)</f>
        <v>0</v>
      </c>
      <c r="B23" s="34" t="str">
        <f>IFERROR(VLOOKUP(ROW(A22),'복무요원 명단'!$A$1:$N$30,9,FALSE),"없음")</f>
        <v>없음</v>
      </c>
      <c r="C23" s="34" t="str">
        <f>IFERROR(VLOOKUP(ROW(B22),'복무요원 명단'!$A$1:$N$30,10,FALSE),"없음")</f>
        <v>없음</v>
      </c>
      <c r="D23" s="34" t="str">
        <f>IFERROR(VLOOKUP(ROW(C22),'복무요원 명단'!$A$1:$N$30,11,FALSE),"없음")</f>
        <v>없음</v>
      </c>
      <c r="E23" s="35"/>
      <c r="F23" s="36" t="str">
        <f t="shared" si="0"/>
        <v>없음</v>
      </c>
      <c r="G23" s="34" t="str">
        <f t="shared" si="1"/>
        <v>없음</v>
      </c>
      <c r="H23" s="37"/>
      <c r="I23" s="13">
        <f>IFERROR(VLOOKUP(ROW(A22),'복무요원 명단'!$A$1:$N$30,13,FALSE),0)</f>
        <v>0</v>
      </c>
      <c r="J23" s="13">
        <f>IFERROR(VLOOKUP(ROW(B22),'복무요원 명단'!$A$1:$N$30,14,FALSE),0)</f>
        <v>0</v>
      </c>
    </row>
    <row r="24" spans="1:10" x14ac:dyDescent="0.3">
      <c r="A24" s="13">
        <f>IFERROR(VLOOKUP(ROW(A23),'복무요원 명단'!$A$1:$D$30,2,FALSE),0)</f>
        <v>0</v>
      </c>
      <c r="B24" s="34" t="str">
        <f>IFERROR(VLOOKUP(ROW(A23),'복무요원 명단'!$A$1:$N$30,9,FALSE),"없음")</f>
        <v>없음</v>
      </c>
      <c r="C24" s="34" t="str">
        <f>IFERROR(VLOOKUP(ROW(B23),'복무요원 명단'!$A$1:$N$30,10,FALSE),"없음")</f>
        <v>없음</v>
      </c>
      <c r="D24" s="34" t="str">
        <f>IFERROR(VLOOKUP(ROW(C23),'복무요원 명단'!$A$1:$N$30,11,FALSE),"없음")</f>
        <v>없음</v>
      </c>
      <c r="E24" s="35"/>
      <c r="F24" s="36" t="str">
        <f t="shared" si="0"/>
        <v>없음</v>
      </c>
      <c r="G24" s="34" t="str">
        <f t="shared" si="1"/>
        <v>없음</v>
      </c>
      <c r="H24" s="37"/>
      <c r="I24" s="13">
        <f>IFERROR(VLOOKUP(ROW(A23),'복무요원 명단'!$A$1:$N$30,13,FALSE),0)</f>
        <v>0</v>
      </c>
      <c r="J24" s="13">
        <f>IFERROR(VLOOKUP(ROW(B23),'복무요원 명단'!$A$1:$N$30,14,FALSE),0)</f>
        <v>0</v>
      </c>
    </row>
    <row r="25" spans="1:10" x14ac:dyDescent="0.3">
      <c r="A25" s="13">
        <f>IFERROR(VLOOKUP(ROW(A24),'복무요원 명단'!$A$1:$D$30,2,FALSE),0)</f>
        <v>0</v>
      </c>
      <c r="B25" s="34" t="str">
        <f>IFERROR(VLOOKUP(ROW(A24),'복무요원 명단'!$A$1:$N$30,9,FALSE),"없음")</f>
        <v>없음</v>
      </c>
      <c r="C25" s="34" t="str">
        <f>IFERROR(VLOOKUP(ROW(B24),'복무요원 명단'!$A$1:$N$30,10,FALSE),"없음")</f>
        <v>없음</v>
      </c>
      <c r="D25" s="34" t="str">
        <f>IFERROR(VLOOKUP(ROW(C24),'복무요원 명단'!$A$1:$N$30,11,FALSE),"없음")</f>
        <v>없음</v>
      </c>
      <c r="E25" s="35"/>
      <c r="F25" s="36" t="str">
        <f t="shared" si="0"/>
        <v>없음</v>
      </c>
      <c r="G25" s="34" t="str">
        <f t="shared" si="1"/>
        <v>없음</v>
      </c>
      <c r="H25" s="37"/>
      <c r="I25" s="13">
        <f>IFERROR(VLOOKUP(ROW(A24),'복무요원 명단'!$A$1:$N$30,13,FALSE),0)</f>
        <v>0</v>
      </c>
      <c r="J25" s="13">
        <f>IFERROR(VLOOKUP(ROW(B24),'복무요원 명단'!$A$1:$N$30,14,FALSE),0)</f>
        <v>0</v>
      </c>
    </row>
    <row r="26" spans="1:10" x14ac:dyDescent="0.3">
      <c r="A26" s="13">
        <f>IFERROR(VLOOKUP(ROW(A25),'복무요원 명단'!$A$1:$D$30,2,FALSE),0)</f>
        <v>0</v>
      </c>
      <c r="B26" s="34" t="str">
        <f>IFERROR(VLOOKUP(ROW(A25),'복무요원 명단'!$A$1:$N$30,9,FALSE),"없음")</f>
        <v>없음</v>
      </c>
      <c r="C26" s="34" t="str">
        <f>IFERROR(VLOOKUP(ROW(B25),'복무요원 명단'!$A$1:$N$30,10,FALSE),"없음")</f>
        <v>없음</v>
      </c>
      <c r="D26" s="34" t="str">
        <f>IFERROR(VLOOKUP(ROW(C25),'복무요원 명단'!$A$1:$N$30,11,FALSE),"없음")</f>
        <v>없음</v>
      </c>
      <c r="E26" s="35"/>
      <c r="F26" s="36" t="str">
        <f t="shared" si="0"/>
        <v>없음</v>
      </c>
      <c r="G26" s="34" t="str">
        <f t="shared" si="1"/>
        <v>없음</v>
      </c>
      <c r="H26" s="37"/>
      <c r="I26" s="13">
        <f>IFERROR(VLOOKUP(ROW(A25),'복무요원 명단'!$A$1:$N$30,13,FALSE),0)</f>
        <v>0</v>
      </c>
      <c r="J26" s="13">
        <f>IFERROR(VLOOKUP(ROW(B25),'복무요원 명단'!$A$1:$N$30,14,FALSE),0)</f>
        <v>0</v>
      </c>
    </row>
    <row r="27" spans="1:10" x14ac:dyDescent="0.3">
      <c r="A27" s="13">
        <f>IFERROR(VLOOKUP(ROW(A26),'복무요원 명단'!$A$1:$D$30,2,FALSE),0)</f>
        <v>0</v>
      </c>
      <c r="B27" s="34" t="str">
        <f>IFERROR(VLOOKUP(ROW(A26),'복무요원 명단'!$A$1:$N$30,9,FALSE),"없음")</f>
        <v>없음</v>
      </c>
      <c r="C27" s="34" t="str">
        <f>IFERROR(VLOOKUP(ROW(B26),'복무요원 명단'!$A$1:$N$30,10,FALSE),"없음")</f>
        <v>없음</v>
      </c>
      <c r="D27" s="34" t="str">
        <f>IFERROR(VLOOKUP(ROW(C26),'복무요원 명단'!$A$1:$N$30,11,FALSE),"없음")</f>
        <v>없음</v>
      </c>
      <c r="E27" s="35"/>
      <c r="F27" s="36" t="str">
        <f t="shared" si="0"/>
        <v>없음</v>
      </c>
      <c r="G27" s="34" t="str">
        <f t="shared" si="1"/>
        <v>없음</v>
      </c>
      <c r="H27" s="37"/>
      <c r="I27" s="13">
        <f>IFERROR(VLOOKUP(ROW(A26),'복무요원 명단'!$A$1:$N$30,13,FALSE),0)</f>
        <v>0</v>
      </c>
      <c r="J27" s="13">
        <f>IFERROR(VLOOKUP(ROW(B26),'복무요원 명단'!$A$1:$N$30,14,FALSE),0)</f>
        <v>0</v>
      </c>
    </row>
    <row r="28" spans="1:10" x14ac:dyDescent="0.3">
      <c r="A28" s="13">
        <f>IFERROR(VLOOKUP(ROW(A27),'복무요원 명단'!$A$1:$D$30,2,FALSE),0)</f>
        <v>0</v>
      </c>
      <c r="B28" s="34" t="str">
        <f>IFERROR(VLOOKUP(ROW(A27),'복무요원 명단'!$A$1:$N$30,9,FALSE),"없음")</f>
        <v>없음</v>
      </c>
      <c r="C28" s="34" t="str">
        <f>IFERROR(VLOOKUP(ROW(B27),'복무요원 명단'!$A$1:$N$30,10,FALSE),"없음")</f>
        <v>없음</v>
      </c>
      <c r="D28" s="34" t="str">
        <f>IFERROR(VLOOKUP(ROW(C27),'복무요원 명단'!$A$1:$N$30,11,FALSE),"없음")</f>
        <v>없음</v>
      </c>
      <c r="E28" s="35"/>
      <c r="F28" s="36" t="str">
        <f t="shared" si="0"/>
        <v>없음</v>
      </c>
      <c r="G28" s="34" t="str">
        <f t="shared" si="1"/>
        <v>없음</v>
      </c>
      <c r="H28" s="37"/>
      <c r="I28" s="13">
        <f>IFERROR(VLOOKUP(ROW(A27),'복무요원 명단'!$A$1:$N$30,13,FALSE),0)</f>
        <v>0</v>
      </c>
      <c r="J28" s="13">
        <f>IFERROR(VLOOKUP(ROW(B27),'복무요원 명단'!$A$1:$N$30,14,FALSE),0)</f>
        <v>0</v>
      </c>
    </row>
    <row r="29" spans="1:10" x14ac:dyDescent="0.3">
      <c r="A29" s="13">
        <f>IFERROR(VLOOKUP(ROW(A28),'복무요원 명단'!$A$1:$D$30,2,FALSE),0)</f>
        <v>0</v>
      </c>
      <c r="B29" s="34" t="str">
        <f>IFERROR(VLOOKUP(ROW(A28),'복무요원 명단'!$A$1:$N$30,9,FALSE),"없음")</f>
        <v>없음</v>
      </c>
      <c r="C29" s="34" t="str">
        <f>IFERROR(VLOOKUP(ROW(B28),'복무요원 명단'!$A$1:$N$30,10,FALSE),"없음")</f>
        <v>없음</v>
      </c>
      <c r="D29" s="34" t="str">
        <f>IFERROR(VLOOKUP(ROW(C28),'복무요원 명단'!$A$1:$N$30,11,FALSE),"없음")</f>
        <v>없음</v>
      </c>
      <c r="E29" s="35"/>
      <c r="F29" s="36" t="str">
        <f t="shared" si="0"/>
        <v>없음</v>
      </c>
      <c r="G29" s="34" t="str">
        <f t="shared" si="1"/>
        <v>없음</v>
      </c>
      <c r="H29" s="37"/>
      <c r="I29" s="13">
        <f>IFERROR(VLOOKUP(ROW(A28),'복무요원 명단'!$A$1:$N$30,13,FALSE),0)</f>
        <v>0</v>
      </c>
      <c r="J29" s="13">
        <f>IFERROR(VLOOKUP(ROW(B28),'복무요원 명단'!$A$1:$N$30,14,FALSE),0)</f>
        <v>0</v>
      </c>
    </row>
    <row r="30" spans="1:10" x14ac:dyDescent="0.3">
      <c r="A30" s="13">
        <f>IFERROR(VLOOKUP(ROW(A29),'복무요원 명단'!$A$1:$D$30,2,FALSE),0)</f>
        <v>0</v>
      </c>
      <c r="B30" s="34" t="str">
        <f>IFERROR(VLOOKUP(ROW(A29),'복무요원 명단'!$A$1:$N$30,9,FALSE),"없음")</f>
        <v>없음</v>
      </c>
      <c r="C30" s="34" t="str">
        <f>IFERROR(VLOOKUP(ROW(B29),'복무요원 명단'!$A$1:$N$30,10,FALSE),"없음")</f>
        <v>없음</v>
      </c>
      <c r="D30" s="34" t="str">
        <f>IFERROR(VLOOKUP(ROW(C29),'복무요원 명단'!$A$1:$N$30,11,FALSE),"없음")</f>
        <v>없음</v>
      </c>
      <c r="E30" s="35"/>
      <c r="F30" s="36" t="str">
        <f t="shared" si="0"/>
        <v>없음</v>
      </c>
      <c r="G30" s="13" t="str">
        <f t="shared" si="1"/>
        <v>없음</v>
      </c>
      <c r="H30" s="37"/>
      <c r="I30" s="13">
        <f>IFERROR(VLOOKUP(ROW(A29),'복무요원 명단'!$A$1:$N$30,13,FALSE),0)</f>
        <v>0</v>
      </c>
      <c r="J30" s="13">
        <f>IFERROR(VLOOKUP(ROW(B29),'복무요원 명단'!$A$1:$N$30,14,FALSE),0)</f>
        <v>0</v>
      </c>
    </row>
  </sheetData>
  <sheetProtection password="C4AC" sheet="1" objects="1" scenarios="1" selectLockedCells="1"/>
  <phoneticPr fontId="2" type="noConversion"/>
  <conditionalFormatting sqref="A2:A30">
    <cfRule type="cellIs" dxfId="6" priority="93" operator="equal">
      <formula>0</formula>
    </cfRule>
  </conditionalFormatting>
  <conditionalFormatting sqref="E1:H1048576">
    <cfRule type="cellIs" dxfId="5" priority="92" operator="equal">
      <formula>"없음"</formula>
    </cfRule>
  </conditionalFormatting>
  <conditionalFormatting sqref="F3">
    <cfRule type="dataBar" priority="89">
      <dataBar>
        <cfvo type="num" val="0"/>
        <cfvo type="num" val="$I$3"/>
        <color rgb="FF638EC6"/>
      </dataBar>
      <extLst>
        <ext xmlns:x14="http://schemas.microsoft.com/office/spreadsheetml/2009/9/main" uri="{B025F937-C7B1-47D3-B67F-A62EFF666E3E}">
          <x14:id>{EC1B73B1-357D-4EC3-9358-4AA0EC3C2057}</x14:id>
        </ext>
      </extLst>
    </cfRule>
  </conditionalFormatting>
  <conditionalFormatting sqref="G3">
    <cfRule type="dataBar" priority="88">
      <dataBar>
        <cfvo type="num" val="0"/>
        <cfvo type="num" val="$J$3"/>
        <color rgb="FF638EC6"/>
      </dataBar>
      <extLst>
        <ext xmlns:x14="http://schemas.microsoft.com/office/spreadsheetml/2009/9/main" uri="{B025F937-C7B1-47D3-B67F-A62EFF666E3E}">
          <x14:id>{400907CF-8BB7-4B72-AA51-708F91D8F660}</x14:id>
        </ext>
      </extLst>
    </cfRule>
  </conditionalFormatting>
  <conditionalFormatting sqref="F4">
    <cfRule type="dataBar" priority="87">
      <dataBar>
        <cfvo type="min"/>
        <cfvo type="num" val="$I$4"/>
        <color rgb="FF638EC6"/>
      </dataBar>
      <extLst>
        <ext xmlns:x14="http://schemas.microsoft.com/office/spreadsheetml/2009/9/main" uri="{B025F937-C7B1-47D3-B67F-A62EFF666E3E}">
          <x14:id>{D5B0833D-58DF-4F7B-A4D4-D6C1C1837006}</x14:id>
        </ext>
      </extLst>
    </cfRule>
  </conditionalFormatting>
  <conditionalFormatting sqref="G4">
    <cfRule type="dataBar" priority="86">
      <dataBar>
        <cfvo type="num" val="0"/>
        <cfvo type="num" val="$J$4"/>
        <color rgb="FF638EC6"/>
      </dataBar>
      <extLst>
        <ext xmlns:x14="http://schemas.microsoft.com/office/spreadsheetml/2009/9/main" uri="{B025F937-C7B1-47D3-B67F-A62EFF666E3E}">
          <x14:id>{6204ACC7-A73F-4D31-A3B5-53A6412D2AD0}</x14:id>
        </ext>
      </extLst>
    </cfRule>
  </conditionalFormatting>
  <conditionalFormatting sqref="F5">
    <cfRule type="dataBar" priority="85">
      <dataBar>
        <cfvo type="num" val="0"/>
        <cfvo type="num" val="$I$5"/>
        <color rgb="FF638EC6"/>
      </dataBar>
      <extLst>
        <ext xmlns:x14="http://schemas.microsoft.com/office/spreadsheetml/2009/9/main" uri="{B025F937-C7B1-47D3-B67F-A62EFF666E3E}">
          <x14:id>{E1B1D12D-0DA6-40AE-9978-21E593C5E207}</x14:id>
        </ext>
      </extLst>
    </cfRule>
  </conditionalFormatting>
  <conditionalFormatting sqref="G5">
    <cfRule type="dataBar" priority="84">
      <dataBar>
        <cfvo type="num" val="0"/>
        <cfvo type="num" val="$J$5"/>
        <color rgb="FF638EC6"/>
      </dataBar>
      <extLst>
        <ext xmlns:x14="http://schemas.microsoft.com/office/spreadsheetml/2009/9/main" uri="{B025F937-C7B1-47D3-B67F-A62EFF666E3E}">
          <x14:id>{325F82BF-B9ED-4BF3-991A-7A2A8A9A5C21}</x14:id>
        </ext>
      </extLst>
    </cfRule>
  </conditionalFormatting>
  <conditionalFormatting sqref="F6">
    <cfRule type="dataBar" priority="83">
      <dataBar>
        <cfvo type="num" val="0"/>
        <cfvo type="num" val="$I$6"/>
        <color rgb="FF638EC6"/>
      </dataBar>
      <extLst>
        <ext xmlns:x14="http://schemas.microsoft.com/office/spreadsheetml/2009/9/main" uri="{B025F937-C7B1-47D3-B67F-A62EFF666E3E}">
          <x14:id>{1BF8766E-5B82-4EF2-A7E2-30B4F0622420}</x14:id>
        </ext>
      </extLst>
    </cfRule>
  </conditionalFormatting>
  <conditionalFormatting sqref="G6">
    <cfRule type="dataBar" priority="82">
      <dataBar>
        <cfvo type="num" val="0"/>
        <cfvo type="num" val="$J$6"/>
        <color rgb="FF638EC6"/>
      </dataBar>
      <extLst>
        <ext xmlns:x14="http://schemas.microsoft.com/office/spreadsheetml/2009/9/main" uri="{B025F937-C7B1-47D3-B67F-A62EFF666E3E}">
          <x14:id>{B10099BB-8C11-40A3-BEB0-609B04D51C24}</x14:id>
        </ext>
      </extLst>
    </cfRule>
  </conditionalFormatting>
  <conditionalFormatting sqref="F7">
    <cfRule type="dataBar" priority="81">
      <dataBar>
        <cfvo type="num" val="0"/>
        <cfvo type="num" val="$I$7"/>
        <color rgb="FF638EC6"/>
      </dataBar>
      <extLst>
        <ext xmlns:x14="http://schemas.microsoft.com/office/spreadsheetml/2009/9/main" uri="{B025F937-C7B1-47D3-B67F-A62EFF666E3E}">
          <x14:id>{4EACD767-47FE-4CFD-ADE3-35EFF9698A87}</x14:id>
        </ext>
      </extLst>
    </cfRule>
  </conditionalFormatting>
  <conditionalFormatting sqref="G7">
    <cfRule type="dataBar" priority="80">
      <dataBar>
        <cfvo type="num" val="0"/>
        <cfvo type="num" val="$J$7"/>
        <color rgb="FF638EC6"/>
      </dataBar>
      <extLst>
        <ext xmlns:x14="http://schemas.microsoft.com/office/spreadsheetml/2009/9/main" uri="{B025F937-C7B1-47D3-B67F-A62EFF666E3E}">
          <x14:id>{11E98F31-47B6-4B9B-B492-3CFAD605711A}</x14:id>
        </ext>
      </extLst>
    </cfRule>
  </conditionalFormatting>
  <conditionalFormatting sqref="F8">
    <cfRule type="dataBar" priority="79">
      <dataBar>
        <cfvo type="num" val="0"/>
        <cfvo type="num" val="$I$8"/>
        <color rgb="FF638EC6"/>
      </dataBar>
      <extLst>
        <ext xmlns:x14="http://schemas.microsoft.com/office/spreadsheetml/2009/9/main" uri="{B025F937-C7B1-47D3-B67F-A62EFF666E3E}">
          <x14:id>{CF81ED6D-BFE4-4771-ABD1-EE33D227DE2B}</x14:id>
        </ext>
      </extLst>
    </cfRule>
  </conditionalFormatting>
  <conditionalFormatting sqref="G8">
    <cfRule type="dataBar" priority="78">
      <dataBar>
        <cfvo type="num" val="0"/>
        <cfvo type="num" val="$J$8"/>
        <color rgb="FF638EC6"/>
      </dataBar>
      <extLst>
        <ext xmlns:x14="http://schemas.microsoft.com/office/spreadsheetml/2009/9/main" uri="{B025F937-C7B1-47D3-B67F-A62EFF666E3E}">
          <x14:id>{3A846B67-6662-4CC7-8B13-A21AB9DF10BE}</x14:id>
        </ext>
      </extLst>
    </cfRule>
  </conditionalFormatting>
  <conditionalFormatting sqref="F9">
    <cfRule type="dataBar" priority="76">
      <dataBar>
        <cfvo type="num" val="0"/>
        <cfvo type="num" val="$I$9"/>
        <color rgb="FF638EC6"/>
      </dataBar>
      <extLst>
        <ext xmlns:x14="http://schemas.microsoft.com/office/spreadsheetml/2009/9/main" uri="{B025F937-C7B1-47D3-B67F-A62EFF666E3E}">
          <x14:id>{2B2A98F0-2BB2-4146-9A97-9898EA1411AB}</x14:id>
        </ext>
      </extLst>
    </cfRule>
    <cfRule type="dataBar" priority="77">
      <dataBar>
        <cfvo type="num" val="0"/>
        <cfvo type="num" val="&quot;0+$I$9&quot;"/>
        <color rgb="FF638EC6"/>
      </dataBar>
      <extLst>
        <ext xmlns:x14="http://schemas.microsoft.com/office/spreadsheetml/2009/9/main" uri="{B025F937-C7B1-47D3-B67F-A62EFF666E3E}">
          <x14:id>{9C48B2B8-6787-4B6D-9847-6A78253456F9}</x14:id>
        </ext>
      </extLst>
    </cfRule>
  </conditionalFormatting>
  <conditionalFormatting sqref="G9">
    <cfRule type="dataBar" priority="75">
      <dataBar>
        <cfvo type="num" val="0"/>
        <cfvo type="num" val="$J$9"/>
        <color rgb="FF638EC6"/>
      </dataBar>
      <extLst>
        <ext xmlns:x14="http://schemas.microsoft.com/office/spreadsheetml/2009/9/main" uri="{B025F937-C7B1-47D3-B67F-A62EFF666E3E}">
          <x14:id>{EE30470C-D600-4C2B-848F-FB1FFAB74ABC}</x14:id>
        </ext>
      </extLst>
    </cfRule>
  </conditionalFormatting>
  <conditionalFormatting sqref="F10">
    <cfRule type="dataBar" priority="74">
      <dataBar>
        <cfvo type="num" val="0"/>
        <cfvo type="num" val="$I$10"/>
        <color rgb="FF638EC6"/>
      </dataBar>
      <extLst>
        <ext xmlns:x14="http://schemas.microsoft.com/office/spreadsheetml/2009/9/main" uri="{B025F937-C7B1-47D3-B67F-A62EFF666E3E}">
          <x14:id>{FB19E4BB-1CCB-4CF1-B6EB-5F744EA1D1C2}</x14:id>
        </ext>
      </extLst>
    </cfRule>
  </conditionalFormatting>
  <conditionalFormatting sqref="G10">
    <cfRule type="dataBar" priority="73">
      <dataBar>
        <cfvo type="num" val="0"/>
        <cfvo type="num" val="$J$10"/>
        <color rgb="FF638EC6"/>
      </dataBar>
      <extLst>
        <ext xmlns:x14="http://schemas.microsoft.com/office/spreadsheetml/2009/9/main" uri="{B025F937-C7B1-47D3-B67F-A62EFF666E3E}">
          <x14:id>{3E7DA0DA-6E5F-489A-BEB7-05026EA54B14}</x14:id>
        </ext>
      </extLst>
    </cfRule>
  </conditionalFormatting>
  <conditionalFormatting sqref="F11">
    <cfRule type="dataBar" priority="72">
      <dataBar>
        <cfvo type="num" val="0"/>
        <cfvo type="num" val="$I$11"/>
        <color rgb="FF638EC6"/>
      </dataBar>
      <extLst>
        <ext xmlns:x14="http://schemas.microsoft.com/office/spreadsheetml/2009/9/main" uri="{B025F937-C7B1-47D3-B67F-A62EFF666E3E}">
          <x14:id>{8E2BD7D6-E538-4563-A5ED-FB059C7CC86C}</x14:id>
        </ext>
      </extLst>
    </cfRule>
  </conditionalFormatting>
  <conditionalFormatting sqref="G11">
    <cfRule type="dataBar" priority="71">
      <dataBar>
        <cfvo type="num" val="0"/>
        <cfvo type="num" val="$J$11"/>
        <color rgb="FF638EC6"/>
      </dataBar>
      <extLst>
        <ext xmlns:x14="http://schemas.microsoft.com/office/spreadsheetml/2009/9/main" uri="{B025F937-C7B1-47D3-B67F-A62EFF666E3E}">
          <x14:id>{0EB7E8BB-CA0B-4314-95E3-9FE0138C4ABB}</x14:id>
        </ext>
      </extLst>
    </cfRule>
  </conditionalFormatting>
  <conditionalFormatting sqref="F12">
    <cfRule type="dataBar" priority="70">
      <dataBar>
        <cfvo type="num" val="0"/>
        <cfvo type="num" val="$I$12"/>
        <color rgb="FF638EC6"/>
      </dataBar>
      <extLst>
        <ext xmlns:x14="http://schemas.microsoft.com/office/spreadsheetml/2009/9/main" uri="{B025F937-C7B1-47D3-B67F-A62EFF666E3E}">
          <x14:id>{51DBE090-B457-4A44-BAFB-672C290913CF}</x14:id>
        </ext>
      </extLst>
    </cfRule>
  </conditionalFormatting>
  <conditionalFormatting sqref="G12">
    <cfRule type="dataBar" priority="69">
      <dataBar>
        <cfvo type="num" val="0"/>
        <cfvo type="num" val="$J$12"/>
        <color rgb="FF638EC6"/>
      </dataBar>
      <extLst>
        <ext xmlns:x14="http://schemas.microsoft.com/office/spreadsheetml/2009/9/main" uri="{B025F937-C7B1-47D3-B67F-A62EFF666E3E}">
          <x14:id>{9F666E0E-7930-4B75-BBFE-B51BBE9683AB}</x14:id>
        </ext>
      </extLst>
    </cfRule>
  </conditionalFormatting>
  <conditionalFormatting sqref="F13">
    <cfRule type="dataBar" priority="68">
      <dataBar>
        <cfvo type="num" val="0"/>
        <cfvo type="num" val="$I$13"/>
        <color rgb="FF638EC6"/>
      </dataBar>
      <extLst>
        <ext xmlns:x14="http://schemas.microsoft.com/office/spreadsheetml/2009/9/main" uri="{B025F937-C7B1-47D3-B67F-A62EFF666E3E}">
          <x14:id>{2701032D-4689-416A-BE33-654F5057B451}</x14:id>
        </ext>
      </extLst>
    </cfRule>
  </conditionalFormatting>
  <conditionalFormatting sqref="G13">
    <cfRule type="dataBar" priority="67">
      <dataBar>
        <cfvo type="num" val="0"/>
        <cfvo type="num" val="$J$13"/>
        <color rgb="FF638EC6"/>
      </dataBar>
      <extLst>
        <ext xmlns:x14="http://schemas.microsoft.com/office/spreadsheetml/2009/9/main" uri="{B025F937-C7B1-47D3-B67F-A62EFF666E3E}">
          <x14:id>{00B26AE4-7257-462B-9DE8-702810E094B7}</x14:id>
        </ext>
      </extLst>
    </cfRule>
  </conditionalFormatting>
  <conditionalFormatting sqref="I1:J1048576">
    <cfRule type="cellIs" dxfId="4" priority="39" operator="equal">
      <formula>0</formula>
    </cfRule>
  </conditionalFormatting>
  <conditionalFormatting sqref="F14">
    <cfRule type="dataBar" priority="38">
      <dataBar>
        <cfvo type="num" val="0"/>
        <cfvo type="num" val="$I$14"/>
        <color rgb="FF638EC6"/>
      </dataBar>
      <extLst>
        <ext xmlns:x14="http://schemas.microsoft.com/office/spreadsheetml/2009/9/main" uri="{B025F937-C7B1-47D3-B67F-A62EFF666E3E}">
          <x14:id>{640C0BC6-B507-4B09-8780-7E5420105CA9}</x14:id>
        </ext>
      </extLst>
    </cfRule>
  </conditionalFormatting>
  <conditionalFormatting sqref="G14">
    <cfRule type="dataBar" priority="37">
      <dataBar>
        <cfvo type="num" val="0"/>
        <cfvo type="num" val="$J$14"/>
        <color rgb="FF638EC6"/>
      </dataBar>
      <extLst>
        <ext xmlns:x14="http://schemas.microsoft.com/office/spreadsheetml/2009/9/main" uri="{B025F937-C7B1-47D3-B67F-A62EFF666E3E}">
          <x14:id>{6583BD41-5F05-42EC-ACC1-2CECDDA8336E}</x14:id>
        </ext>
      </extLst>
    </cfRule>
  </conditionalFormatting>
  <conditionalFormatting sqref="F15">
    <cfRule type="dataBar" priority="36">
      <dataBar>
        <cfvo type="num" val="0"/>
        <cfvo type="num" val="$I$15"/>
        <color rgb="FF638EC6"/>
      </dataBar>
      <extLst>
        <ext xmlns:x14="http://schemas.microsoft.com/office/spreadsheetml/2009/9/main" uri="{B025F937-C7B1-47D3-B67F-A62EFF666E3E}">
          <x14:id>{5DAA71A4-9901-4A1E-A334-74B95AA4FAE3}</x14:id>
        </ext>
      </extLst>
    </cfRule>
  </conditionalFormatting>
  <conditionalFormatting sqref="G15">
    <cfRule type="dataBar" priority="35">
      <dataBar>
        <cfvo type="num" val="0"/>
        <cfvo type="num" val="$J$15"/>
        <color rgb="FF638EC6"/>
      </dataBar>
      <extLst>
        <ext xmlns:x14="http://schemas.microsoft.com/office/spreadsheetml/2009/9/main" uri="{B025F937-C7B1-47D3-B67F-A62EFF666E3E}">
          <x14:id>{8E233F3F-D58D-42A5-8503-9F33B77498F3}</x14:id>
        </ext>
      </extLst>
    </cfRule>
  </conditionalFormatting>
  <conditionalFormatting sqref="F16">
    <cfRule type="dataBar" priority="34">
      <dataBar>
        <cfvo type="num" val="0"/>
        <cfvo type="num" val="$I$16"/>
        <color rgb="FF638EC6"/>
      </dataBar>
      <extLst>
        <ext xmlns:x14="http://schemas.microsoft.com/office/spreadsheetml/2009/9/main" uri="{B025F937-C7B1-47D3-B67F-A62EFF666E3E}">
          <x14:id>{8DC18EC7-B121-4C62-9E8D-EFBBCE967729}</x14:id>
        </ext>
      </extLst>
    </cfRule>
  </conditionalFormatting>
  <conditionalFormatting sqref="G16">
    <cfRule type="dataBar" priority="33">
      <dataBar>
        <cfvo type="num" val="0"/>
        <cfvo type="num" val="$J$16"/>
        <color rgb="FF638EC6"/>
      </dataBar>
      <extLst>
        <ext xmlns:x14="http://schemas.microsoft.com/office/spreadsheetml/2009/9/main" uri="{B025F937-C7B1-47D3-B67F-A62EFF666E3E}">
          <x14:id>{495C8679-9C09-40AB-8E45-8A6605B3BA7C}</x14:id>
        </ext>
      </extLst>
    </cfRule>
  </conditionalFormatting>
  <conditionalFormatting sqref="F17">
    <cfRule type="dataBar" priority="32">
      <dataBar>
        <cfvo type="num" val="0"/>
        <cfvo type="num" val="$I$17"/>
        <color rgb="FF638EC6"/>
      </dataBar>
      <extLst>
        <ext xmlns:x14="http://schemas.microsoft.com/office/spreadsheetml/2009/9/main" uri="{B025F937-C7B1-47D3-B67F-A62EFF666E3E}">
          <x14:id>{0FDCB87E-313C-4E7F-8EB9-C4E1E06379EB}</x14:id>
        </ext>
      </extLst>
    </cfRule>
  </conditionalFormatting>
  <conditionalFormatting sqref="G17">
    <cfRule type="dataBar" priority="31">
      <dataBar>
        <cfvo type="num" val="0"/>
        <cfvo type="num" val="$J$17"/>
        <color rgb="FF638EC6"/>
      </dataBar>
      <extLst>
        <ext xmlns:x14="http://schemas.microsoft.com/office/spreadsheetml/2009/9/main" uri="{B025F937-C7B1-47D3-B67F-A62EFF666E3E}">
          <x14:id>{8D2B2486-B2BD-4EE2-B373-EFB130DD5154}</x14:id>
        </ext>
      </extLst>
    </cfRule>
  </conditionalFormatting>
  <conditionalFormatting sqref="F18">
    <cfRule type="dataBar" priority="30">
      <dataBar>
        <cfvo type="num" val="0"/>
        <cfvo type="num" val="$I$18"/>
        <color rgb="FF638EC6"/>
      </dataBar>
      <extLst>
        <ext xmlns:x14="http://schemas.microsoft.com/office/spreadsheetml/2009/9/main" uri="{B025F937-C7B1-47D3-B67F-A62EFF666E3E}">
          <x14:id>{BACCB52F-EAB6-4BE8-BDA1-C608A8934494}</x14:id>
        </ext>
      </extLst>
    </cfRule>
  </conditionalFormatting>
  <conditionalFormatting sqref="G18">
    <cfRule type="dataBar" priority="29">
      <dataBar>
        <cfvo type="num" val="0"/>
        <cfvo type="num" val="$J$18"/>
        <color rgb="FF638EC6"/>
      </dataBar>
      <extLst>
        <ext xmlns:x14="http://schemas.microsoft.com/office/spreadsheetml/2009/9/main" uri="{B025F937-C7B1-47D3-B67F-A62EFF666E3E}">
          <x14:id>{32744588-BD56-49A8-ABD6-15D7CAB9FC5C}</x14:id>
        </ext>
      </extLst>
    </cfRule>
  </conditionalFormatting>
  <conditionalFormatting sqref="F19">
    <cfRule type="dataBar" priority="28">
      <dataBar>
        <cfvo type="num" val="0"/>
        <cfvo type="num" val="$I$19"/>
        <color rgb="FF638EC6"/>
      </dataBar>
      <extLst>
        <ext xmlns:x14="http://schemas.microsoft.com/office/spreadsheetml/2009/9/main" uri="{B025F937-C7B1-47D3-B67F-A62EFF666E3E}">
          <x14:id>{8BF92C6C-F9C3-4B02-99CD-7D11884954F6}</x14:id>
        </ext>
      </extLst>
    </cfRule>
  </conditionalFormatting>
  <conditionalFormatting sqref="G19">
    <cfRule type="dataBar" priority="27">
      <dataBar>
        <cfvo type="num" val="0"/>
        <cfvo type="num" val="$J$19"/>
        <color rgb="FF638EC6"/>
      </dataBar>
      <extLst>
        <ext xmlns:x14="http://schemas.microsoft.com/office/spreadsheetml/2009/9/main" uri="{B025F937-C7B1-47D3-B67F-A62EFF666E3E}">
          <x14:id>{C969ED47-867E-46ED-B382-822C62EBE192}</x14:id>
        </ext>
      </extLst>
    </cfRule>
  </conditionalFormatting>
  <conditionalFormatting sqref="F20">
    <cfRule type="dataBar" priority="26">
      <dataBar>
        <cfvo type="num" val="0"/>
        <cfvo type="num" val="$I$20"/>
        <color rgb="FF638EC6"/>
      </dataBar>
      <extLst>
        <ext xmlns:x14="http://schemas.microsoft.com/office/spreadsheetml/2009/9/main" uri="{B025F937-C7B1-47D3-B67F-A62EFF666E3E}">
          <x14:id>{17B16124-A6A8-46DD-AEC1-C6EC09F26025}</x14:id>
        </ext>
      </extLst>
    </cfRule>
  </conditionalFormatting>
  <conditionalFormatting sqref="G20">
    <cfRule type="dataBar" priority="25">
      <dataBar>
        <cfvo type="num" val="0"/>
        <cfvo type="num" val="$J$20"/>
        <color rgb="FF638EC6"/>
      </dataBar>
      <extLst>
        <ext xmlns:x14="http://schemas.microsoft.com/office/spreadsheetml/2009/9/main" uri="{B025F937-C7B1-47D3-B67F-A62EFF666E3E}">
          <x14:id>{F8B85B27-5A24-4A53-9B81-A96596964964}</x14:id>
        </ext>
      </extLst>
    </cfRule>
  </conditionalFormatting>
  <conditionalFormatting sqref="F21">
    <cfRule type="dataBar" priority="24">
      <dataBar>
        <cfvo type="num" val="0"/>
        <cfvo type="num" val="$I$21"/>
        <color rgb="FF638EC6"/>
      </dataBar>
      <extLst>
        <ext xmlns:x14="http://schemas.microsoft.com/office/spreadsheetml/2009/9/main" uri="{B025F937-C7B1-47D3-B67F-A62EFF666E3E}">
          <x14:id>{05F599F5-4994-44F9-BF19-A131F10A3CA8}</x14:id>
        </ext>
      </extLst>
    </cfRule>
  </conditionalFormatting>
  <conditionalFormatting sqref="G21">
    <cfRule type="dataBar" priority="23">
      <dataBar>
        <cfvo type="num" val="0"/>
        <cfvo type="num" val="$J$21"/>
        <color rgb="FF638EC6"/>
      </dataBar>
      <extLst>
        <ext xmlns:x14="http://schemas.microsoft.com/office/spreadsheetml/2009/9/main" uri="{B025F937-C7B1-47D3-B67F-A62EFF666E3E}">
          <x14:id>{FA9994A7-34AB-4AE3-8B4E-852DFC3F1B79}</x14:id>
        </ext>
      </extLst>
    </cfRule>
  </conditionalFormatting>
  <conditionalFormatting sqref="F22">
    <cfRule type="dataBar" priority="22">
      <dataBar>
        <cfvo type="num" val="0"/>
        <cfvo type="num" val="$I$22"/>
        <color rgb="FF638EC6"/>
      </dataBar>
      <extLst>
        <ext xmlns:x14="http://schemas.microsoft.com/office/spreadsheetml/2009/9/main" uri="{B025F937-C7B1-47D3-B67F-A62EFF666E3E}">
          <x14:id>{12DD2C50-6060-4E19-95EE-59D13DE7DC8D}</x14:id>
        </ext>
      </extLst>
    </cfRule>
  </conditionalFormatting>
  <conditionalFormatting sqref="G22">
    <cfRule type="dataBar" priority="21">
      <dataBar>
        <cfvo type="num" val="0"/>
        <cfvo type="num" val="$J$22"/>
        <color rgb="FF638EC6"/>
      </dataBar>
      <extLst>
        <ext xmlns:x14="http://schemas.microsoft.com/office/spreadsheetml/2009/9/main" uri="{B025F937-C7B1-47D3-B67F-A62EFF666E3E}">
          <x14:id>{CA9E72BC-4995-4A1B-908C-9D2A01504A32}</x14:id>
        </ext>
      </extLst>
    </cfRule>
  </conditionalFormatting>
  <conditionalFormatting sqref="F23">
    <cfRule type="dataBar" priority="20">
      <dataBar>
        <cfvo type="num" val="0"/>
        <cfvo type="num" val="$I$23"/>
        <color rgb="FF638EC6"/>
      </dataBar>
      <extLst>
        <ext xmlns:x14="http://schemas.microsoft.com/office/spreadsheetml/2009/9/main" uri="{B025F937-C7B1-47D3-B67F-A62EFF666E3E}">
          <x14:id>{0B17D038-78B0-4660-A34D-0CD045A4AA62}</x14:id>
        </ext>
      </extLst>
    </cfRule>
  </conditionalFormatting>
  <conditionalFormatting sqref="G23">
    <cfRule type="dataBar" priority="19">
      <dataBar>
        <cfvo type="num" val="0"/>
        <cfvo type="num" val="$J$23"/>
        <color rgb="FF638EC6"/>
      </dataBar>
      <extLst>
        <ext xmlns:x14="http://schemas.microsoft.com/office/spreadsheetml/2009/9/main" uri="{B025F937-C7B1-47D3-B67F-A62EFF666E3E}">
          <x14:id>{74762DF1-64B7-468B-8F82-5B3F4EA9E6C1}</x14:id>
        </ext>
      </extLst>
    </cfRule>
  </conditionalFormatting>
  <conditionalFormatting sqref="F24">
    <cfRule type="dataBar" priority="12">
      <dataBar>
        <cfvo type="num" val="0"/>
        <cfvo type="num" val="$I$24"/>
        <color rgb="FF638EC6"/>
      </dataBar>
      <extLst>
        <ext xmlns:x14="http://schemas.microsoft.com/office/spreadsheetml/2009/9/main" uri="{B025F937-C7B1-47D3-B67F-A62EFF666E3E}">
          <x14:id>{B3E5BD41-DD86-488F-8CC2-F31480834F8A}</x14:id>
        </ext>
      </extLst>
    </cfRule>
    <cfRule type="dataBar" priority="18">
      <dataBar>
        <cfvo type="num" val="0"/>
        <cfvo type="num" val="&quot;0+$I$24&quot;"/>
        <color rgb="FF638EC6"/>
      </dataBar>
      <extLst>
        <ext xmlns:x14="http://schemas.microsoft.com/office/spreadsheetml/2009/9/main" uri="{B025F937-C7B1-47D3-B67F-A62EFF666E3E}">
          <x14:id>{711D6E7C-FF68-4B30-AA14-98A8D5B88BD4}</x14:id>
        </ext>
      </extLst>
    </cfRule>
  </conditionalFormatting>
  <conditionalFormatting sqref="G24">
    <cfRule type="dataBar" priority="17">
      <dataBar>
        <cfvo type="num" val="0"/>
        <cfvo type="num" val="$J$24"/>
        <color rgb="FF638EC6"/>
      </dataBar>
      <extLst>
        <ext xmlns:x14="http://schemas.microsoft.com/office/spreadsheetml/2009/9/main" uri="{B025F937-C7B1-47D3-B67F-A62EFF666E3E}">
          <x14:id>{23DA3E5D-EBF2-460D-9DB3-ED3401F7D9EC}</x14:id>
        </ext>
      </extLst>
    </cfRule>
  </conditionalFormatting>
  <conditionalFormatting sqref="F25">
    <cfRule type="dataBar" priority="16">
      <dataBar>
        <cfvo type="num" val="0"/>
        <cfvo type="num" val="$I$25"/>
        <color rgb="FF638EC6"/>
      </dataBar>
      <extLst>
        <ext xmlns:x14="http://schemas.microsoft.com/office/spreadsheetml/2009/9/main" uri="{B025F937-C7B1-47D3-B67F-A62EFF666E3E}">
          <x14:id>{30FEE780-8F8A-4B5E-938A-F68E6446C848}</x14:id>
        </ext>
      </extLst>
    </cfRule>
  </conditionalFormatting>
  <conditionalFormatting sqref="G25">
    <cfRule type="dataBar" priority="15">
      <dataBar>
        <cfvo type="num" val="0"/>
        <cfvo type="num" val="$J$25"/>
        <color rgb="FF638EC6"/>
      </dataBar>
      <extLst>
        <ext xmlns:x14="http://schemas.microsoft.com/office/spreadsheetml/2009/9/main" uri="{B025F937-C7B1-47D3-B67F-A62EFF666E3E}">
          <x14:id>{84C7D37A-7CE3-4FDD-B8A5-5909F694F60B}</x14:id>
        </ext>
      </extLst>
    </cfRule>
  </conditionalFormatting>
  <conditionalFormatting sqref="F26">
    <cfRule type="dataBar" priority="14">
      <dataBar>
        <cfvo type="num" val="0"/>
        <cfvo type="num" val="$I$26"/>
        <color rgb="FF638EC6"/>
      </dataBar>
      <extLst>
        <ext xmlns:x14="http://schemas.microsoft.com/office/spreadsheetml/2009/9/main" uri="{B025F937-C7B1-47D3-B67F-A62EFF666E3E}">
          <x14:id>{4A1F3E45-0C5A-42F1-A765-970866AE2164}</x14:id>
        </ext>
      </extLst>
    </cfRule>
  </conditionalFormatting>
  <conditionalFormatting sqref="G26">
    <cfRule type="dataBar" priority="13">
      <dataBar>
        <cfvo type="num" val="0"/>
        <cfvo type="num" val="$J$26"/>
        <color rgb="FF638EC6"/>
      </dataBar>
      <extLst>
        <ext xmlns:x14="http://schemas.microsoft.com/office/spreadsheetml/2009/9/main" uri="{B025F937-C7B1-47D3-B67F-A62EFF666E3E}">
          <x14:id>{351BFEF4-F3C1-4B82-ABCC-A94AA3B66C5F}</x14:id>
        </ext>
      </extLst>
    </cfRule>
  </conditionalFormatting>
  <conditionalFormatting sqref="F27">
    <cfRule type="dataBar" priority="11">
      <dataBar>
        <cfvo type="num" val="0"/>
        <cfvo type="num" val="$I$27"/>
        <color rgb="FF638EC6"/>
      </dataBar>
      <extLst>
        <ext xmlns:x14="http://schemas.microsoft.com/office/spreadsheetml/2009/9/main" uri="{B025F937-C7B1-47D3-B67F-A62EFF666E3E}">
          <x14:id>{7E67403A-A7D5-48F6-B0AC-2616D438553C}</x14:id>
        </ext>
      </extLst>
    </cfRule>
  </conditionalFormatting>
  <conditionalFormatting sqref="G27">
    <cfRule type="dataBar" priority="10">
      <dataBar>
        <cfvo type="num" val="0"/>
        <cfvo type="num" val="$J$27"/>
        <color rgb="FF638EC6"/>
      </dataBar>
      <extLst>
        <ext xmlns:x14="http://schemas.microsoft.com/office/spreadsheetml/2009/9/main" uri="{B025F937-C7B1-47D3-B67F-A62EFF666E3E}">
          <x14:id>{011E3EEC-F0D4-46CF-9649-9B37530D4121}</x14:id>
        </ext>
      </extLst>
    </cfRule>
  </conditionalFormatting>
  <conditionalFormatting sqref="F28">
    <cfRule type="dataBar" priority="9">
      <dataBar>
        <cfvo type="num" val="0"/>
        <cfvo type="num" val="$I$28"/>
        <color rgb="FF638EC6"/>
      </dataBar>
      <extLst>
        <ext xmlns:x14="http://schemas.microsoft.com/office/spreadsheetml/2009/9/main" uri="{B025F937-C7B1-47D3-B67F-A62EFF666E3E}">
          <x14:id>{7E50E980-1D36-48E7-A2B9-FC4328578E11}</x14:id>
        </ext>
      </extLst>
    </cfRule>
  </conditionalFormatting>
  <conditionalFormatting sqref="G28">
    <cfRule type="dataBar" priority="8">
      <dataBar>
        <cfvo type="num" val="0"/>
        <cfvo type="num" val="$J$28"/>
        <color rgb="FF638EC6"/>
      </dataBar>
      <extLst>
        <ext xmlns:x14="http://schemas.microsoft.com/office/spreadsheetml/2009/9/main" uri="{B025F937-C7B1-47D3-B67F-A62EFF666E3E}">
          <x14:id>{FB04FDF3-F114-459B-8116-E5EC27FBFB06}</x14:id>
        </ext>
      </extLst>
    </cfRule>
  </conditionalFormatting>
  <conditionalFormatting sqref="F29">
    <cfRule type="dataBar" priority="7">
      <dataBar>
        <cfvo type="num" val="0"/>
        <cfvo type="num" val="$I$29"/>
        <color rgb="FF638EC6"/>
      </dataBar>
      <extLst>
        <ext xmlns:x14="http://schemas.microsoft.com/office/spreadsheetml/2009/9/main" uri="{B025F937-C7B1-47D3-B67F-A62EFF666E3E}">
          <x14:id>{7F6097DA-6EE0-4195-A894-A9FD331633D6}</x14:id>
        </ext>
      </extLst>
    </cfRule>
  </conditionalFormatting>
  <conditionalFormatting sqref="G29">
    <cfRule type="dataBar" priority="6">
      <dataBar>
        <cfvo type="num" val="0"/>
        <cfvo type="num" val="$J$29"/>
        <color rgb="FF638EC6"/>
      </dataBar>
      <extLst>
        <ext xmlns:x14="http://schemas.microsoft.com/office/spreadsheetml/2009/9/main" uri="{B025F937-C7B1-47D3-B67F-A62EFF666E3E}">
          <x14:id>{4581C985-5688-4CB6-8DBA-BA02BC785173}</x14:id>
        </ext>
      </extLst>
    </cfRule>
  </conditionalFormatting>
  <conditionalFormatting sqref="F30">
    <cfRule type="dataBar" priority="5">
      <dataBar>
        <cfvo type="num" val="0"/>
        <cfvo type="num" val="$I$30"/>
        <color rgb="FF638EC6"/>
      </dataBar>
      <extLst>
        <ext xmlns:x14="http://schemas.microsoft.com/office/spreadsheetml/2009/9/main" uri="{B025F937-C7B1-47D3-B67F-A62EFF666E3E}">
          <x14:id>{CF5BCE2D-FE67-4272-969C-1EEF78FA2E2E}</x14:id>
        </ext>
      </extLst>
    </cfRule>
  </conditionalFormatting>
  <conditionalFormatting sqref="G30">
    <cfRule type="dataBar" priority="4">
      <dataBar>
        <cfvo type="num" val="0"/>
        <cfvo type="num" val="$J$30"/>
        <color rgb="FF638EC6"/>
      </dataBar>
      <extLst>
        <ext xmlns:x14="http://schemas.microsoft.com/office/spreadsheetml/2009/9/main" uri="{B025F937-C7B1-47D3-B67F-A62EFF666E3E}">
          <x14:id>{A6E3A6CA-4976-4F6A-8273-76E787333155}</x14:id>
        </ext>
      </extLst>
    </cfRule>
  </conditionalFormatting>
  <conditionalFormatting sqref="F2">
    <cfRule type="dataBar" priority="3">
      <dataBar>
        <cfvo type="num" val="0"/>
        <cfvo type="num" val="$I$2"/>
        <color rgb="FF638EC6"/>
      </dataBar>
      <extLst>
        <ext xmlns:x14="http://schemas.microsoft.com/office/spreadsheetml/2009/9/main" uri="{B025F937-C7B1-47D3-B67F-A62EFF666E3E}">
          <x14:id>{536BE29D-14CA-448D-A18D-78B992779808}</x14:id>
        </ext>
      </extLst>
    </cfRule>
  </conditionalFormatting>
  <conditionalFormatting sqref="G2">
    <cfRule type="dataBar" priority="2">
      <dataBar>
        <cfvo type="num" val="0"/>
        <cfvo type="num" val="$J$2"/>
        <color rgb="FF638EC6"/>
      </dataBar>
      <extLst>
        <ext xmlns:x14="http://schemas.microsoft.com/office/spreadsheetml/2009/9/main" uri="{B025F937-C7B1-47D3-B67F-A62EFF666E3E}">
          <x14:id>{765568A8-C926-4282-9331-CAF68FBFA81C}</x14:id>
        </ext>
      </extLst>
    </cfRule>
  </conditionalFormatting>
  <conditionalFormatting sqref="B2:D30">
    <cfRule type="containsText" dxfId="3" priority="1" operator="containsText" text="없음">
      <formula>NOT(ISERROR(SEARCH("없음",B2)))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1B73B1-357D-4EC3-9358-4AA0EC3C2057}">
            <x14:dataBar minLength="0" maxLength="100" gradient="0">
              <x14:cfvo type="num">
                <xm:f>0</xm:f>
              </x14:cfvo>
              <x14:cfvo type="num">
                <xm:f>$I$3</xm:f>
              </x14:cfvo>
              <x14:negativeFillColor rgb="FFFF0000"/>
              <x14:axisColor rgb="FF000000"/>
            </x14:dataBar>
          </x14:cfRule>
          <xm:sqref>F3</xm:sqref>
        </x14:conditionalFormatting>
        <x14:conditionalFormatting xmlns:xm="http://schemas.microsoft.com/office/excel/2006/main">
          <x14:cfRule type="dataBar" id="{400907CF-8BB7-4B72-AA51-708F91D8F660}">
            <x14:dataBar minLength="0" maxLength="100" gradient="0">
              <x14:cfvo type="num">
                <xm:f>0</xm:f>
              </x14:cfvo>
              <x14:cfvo type="num">
                <xm:f>$J$3</xm:f>
              </x14:cfvo>
              <x14:negativeFillColor rgb="FFFF0000"/>
              <x14:axisColor rgb="FF000000"/>
            </x14:dataBar>
          </x14:cfRule>
          <xm:sqref>G3</xm:sqref>
        </x14:conditionalFormatting>
        <x14:conditionalFormatting xmlns:xm="http://schemas.microsoft.com/office/excel/2006/main">
          <x14:cfRule type="dataBar" id="{D5B0833D-58DF-4F7B-A4D4-D6C1C1837006}">
            <x14:dataBar minLength="0" maxLength="100" gradient="0">
              <x14:cfvo type="autoMin"/>
              <x14:cfvo type="num">
                <xm:f>$I$4</xm:f>
              </x14:cfvo>
              <x14:negativeFillColor rgb="FFFF0000"/>
              <x14:axisColor rgb="FF000000"/>
            </x14:dataBar>
          </x14:cfRule>
          <xm:sqref>F4</xm:sqref>
        </x14:conditionalFormatting>
        <x14:conditionalFormatting xmlns:xm="http://schemas.microsoft.com/office/excel/2006/main">
          <x14:cfRule type="dataBar" id="{6204ACC7-A73F-4D31-A3B5-53A6412D2AD0}">
            <x14:dataBar minLength="0" maxLength="100" gradient="0">
              <x14:cfvo type="num">
                <xm:f>0</xm:f>
              </x14:cfvo>
              <x14:cfvo type="num">
                <xm:f>$J$4</xm:f>
              </x14:cfvo>
              <x14:negativeFillColor rgb="FFFF0000"/>
              <x14:axisColor rgb="FF000000"/>
            </x14:dataBar>
          </x14:cfRule>
          <xm:sqref>G4</xm:sqref>
        </x14:conditionalFormatting>
        <x14:conditionalFormatting xmlns:xm="http://schemas.microsoft.com/office/excel/2006/main">
          <x14:cfRule type="dataBar" id="{E1B1D12D-0DA6-40AE-9978-21E593C5E207}">
            <x14:dataBar minLength="0" maxLength="100" gradient="0">
              <x14:cfvo type="num">
                <xm:f>0</xm:f>
              </x14:cfvo>
              <x14:cfvo type="num">
                <xm:f>$I$5</xm:f>
              </x14:cfvo>
              <x14:negativeFillColor rgb="FFFF0000"/>
              <x14:axisColor rgb="FF000000"/>
            </x14:dataBar>
          </x14:cfRule>
          <xm:sqref>F5</xm:sqref>
        </x14:conditionalFormatting>
        <x14:conditionalFormatting xmlns:xm="http://schemas.microsoft.com/office/excel/2006/main">
          <x14:cfRule type="dataBar" id="{325F82BF-B9ED-4BF3-991A-7A2A8A9A5C21}">
            <x14:dataBar minLength="0" maxLength="100" gradient="0">
              <x14:cfvo type="num">
                <xm:f>0</xm:f>
              </x14:cfvo>
              <x14:cfvo type="num">
                <xm:f>$J$5</xm:f>
              </x14:cfvo>
              <x14:negativeFillColor rgb="FFFF0000"/>
              <x14:axisColor rgb="FF000000"/>
            </x14:dataBar>
          </x14:cfRule>
          <xm:sqref>G5</xm:sqref>
        </x14:conditionalFormatting>
        <x14:conditionalFormatting xmlns:xm="http://schemas.microsoft.com/office/excel/2006/main">
          <x14:cfRule type="dataBar" id="{1BF8766E-5B82-4EF2-A7E2-30B4F0622420}">
            <x14:dataBar minLength="0" maxLength="100" gradient="0">
              <x14:cfvo type="num">
                <xm:f>0</xm:f>
              </x14:cfvo>
              <x14:cfvo type="num">
                <xm:f>$I$6</xm:f>
              </x14:cfvo>
              <x14:negativeFillColor rgb="FFFF0000"/>
              <x14:axisColor rgb="FF000000"/>
            </x14:dataBar>
          </x14:cfRule>
          <xm:sqref>F6</xm:sqref>
        </x14:conditionalFormatting>
        <x14:conditionalFormatting xmlns:xm="http://schemas.microsoft.com/office/excel/2006/main">
          <x14:cfRule type="dataBar" id="{B10099BB-8C11-40A3-BEB0-609B04D51C24}">
            <x14:dataBar minLength="0" maxLength="100" gradient="0">
              <x14:cfvo type="num">
                <xm:f>0</xm:f>
              </x14:cfvo>
              <x14:cfvo type="num">
                <xm:f>$J$6</xm:f>
              </x14:cfvo>
              <x14:negativeFillColor rgb="FFFF0000"/>
              <x14:axisColor rgb="FF000000"/>
            </x14:dataBar>
          </x14:cfRule>
          <xm:sqref>G6</xm:sqref>
        </x14:conditionalFormatting>
        <x14:conditionalFormatting xmlns:xm="http://schemas.microsoft.com/office/excel/2006/main">
          <x14:cfRule type="dataBar" id="{4EACD767-47FE-4CFD-ADE3-35EFF9698A87}">
            <x14:dataBar minLength="0" maxLength="100" gradient="0">
              <x14:cfvo type="num">
                <xm:f>0</xm:f>
              </x14:cfvo>
              <x14:cfvo type="num">
                <xm:f>$I$7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dataBar" id="{11E98F31-47B6-4B9B-B492-3CFAD605711A}">
            <x14:dataBar minLength="0" maxLength="100" gradient="0">
              <x14:cfvo type="num">
                <xm:f>0</xm:f>
              </x14:cfvo>
              <x14:cfvo type="num">
                <xm:f>$J$7</xm:f>
              </x14:cfvo>
              <x14:negativeFillColor rgb="FFFF0000"/>
              <x14:axisColor rgb="FF000000"/>
            </x14:dataBar>
          </x14:cfRule>
          <xm:sqref>G7</xm:sqref>
        </x14:conditionalFormatting>
        <x14:conditionalFormatting xmlns:xm="http://schemas.microsoft.com/office/excel/2006/main">
          <x14:cfRule type="dataBar" id="{CF81ED6D-BFE4-4771-ABD1-EE33D227DE2B}">
            <x14:dataBar minLength="0" maxLength="100" gradient="0">
              <x14:cfvo type="num">
                <xm:f>0</xm:f>
              </x14:cfvo>
              <x14:cfvo type="num">
                <xm:f>$I$8</xm:f>
              </x14:cfvo>
              <x14:negativeFillColor rgb="FFFF0000"/>
              <x14:axisColor rgb="FF000000"/>
            </x14:dataBar>
          </x14:cfRule>
          <xm:sqref>F8</xm:sqref>
        </x14:conditionalFormatting>
        <x14:conditionalFormatting xmlns:xm="http://schemas.microsoft.com/office/excel/2006/main">
          <x14:cfRule type="dataBar" id="{3A846B67-6662-4CC7-8B13-A21AB9DF10BE}">
            <x14:dataBar minLength="0" maxLength="100" gradient="0">
              <x14:cfvo type="num">
                <xm:f>0</xm:f>
              </x14:cfvo>
              <x14:cfvo type="num">
                <xm:f>$J$8</xm:f>
              </x14:cfvo>
              <x14:negativeFillColor rgb="FFFF0000"/>
              <x14:axisColor rgb="FF000000"/>
            </x14:dataBar>
          </x14:cfRule>
          <xm:sqref>G8</xm:sqref>
        </x14:conditionalFormatting>
        <x14:conditionalFormatting xmlns:xm="http://schemas.microsoft.com/office/excel/2006/main">
          <x14:cfRule type="dataBar" id="{2B2A98F0-2BB2-4146-9A97-9898EA1411AB}">
            <x14:dataBar minLength="0" maxLength="100" gradient="0">
              <x14:cfvo type="num">
                <xm:f>0</xm:f>
              </x14:cfvo>
              <x14:cfvo type="num">
                <xm:f>$I$9</xm:f>
              </x14:cfvo>
              <x14:negativeFillColor rgb="FFFF0000"/>
              <x14:axisColor rgb="FF000000"/>
            </x14:dataBar>
          </x14:cfRule>
          <x14:cfRule type="dataBar" id="{9C48B2B8-6787-4B6D-9847-6A78253456F9}">
            <x14:dataBar minLength="0" maxLength="100" gradient="0">
              <x14:cfvo type="num">
                <xm:f>0</xm:f>
              </x14:cfvo>
              <x14:cfvo type="num">
                <xm:f>"0+$I$9"</xm:f>
              </x14:cfvo>
              <x14:negativeFillColor rgb="FFFF0000"/>
              <x14:axisColor rgb="FF000000"/>
            </x14:dataBar>
          </x14:cfRule>
          <xm:sqref>F9</xm:sqref>
        </x14:conditionalFormatting>
        <x14:conditionalFormatting xmlns:xm="http://schemas.microsoft.com/office/excel/2006/main">
          <x14:cfRule type="dataBar" id="{EE30470C-D600-4C2B-848F-FB1FFAB74ABC}">
            <x14:dataBar minLength="0" maxLength="100" gradient="0">
              <x14:cfvo type="num">
                <xm:f>0</xm:f>
              </x14:cfvo>
              <x14:cfvo type="num">
                <xm:f>$J$9</xm:f>
              </x14:cfvo>
              <x14:negativeFillColor rgb="FFFF0000"/>
              <x14:axisColor rgb="FF000000"/>
            </x14:dataBar>
          </x14:cfRule>
          <xm:sqref>G9</xm:sqref>
        </x14:conditionalFormatting>
        <x14:conditionalFormatting xmlns:xm="http://schemas.microsoft.com/office/excel/2006/main">
          <x14:cfRule type="dataBar" id="{FB19E4BB-1CCB-4CF1-B6EB-5F744EA1D1C2}">
            <x14:dataBar minLength="0" maxLength="100" gradient="0">
              <x14:cfvo type="num">
                <xm:f>0</xm:f>
              </x14:cfvo>
              <x14:cfvo type="num">
                <xm:f>$I$10</xm:f>
              </x14:cfvo>
              <x14:negativeFillColor rgb="FFFF0000"/>
              <x14:axisColor rgb="FF000000"/>
            </x14:dataBar>
          </x14:cfRule>
          <xm:sqref>F10</xm:sqref>
        </x14:conditionalFormatting>
        <x14:conditionalFormatting xmlns:xm="http://schemas.microsoft.com/office/excel/2006/main">
          <x14:cfRule type="dataBar" id="{3E7DA0DA-6E5F-489A-BEB7-05026EA54B14}">
            <x14:dataBar minLength="0" maxLength="100" gradient="0">
              <x14:cfvo type="num">
                <xm:f>0</xm:f>
              </x14:cfvo>
              <x14:cfvo type="num">
                <xm:f>$J$10</xm:f>
              </x14:cfvo>
              <x14:negativeFillColor rgb="FFFF0000"/>
              <x14:axisColor rgb="FF000000"/>
            </x14:dataBar>
          </x14:cfRule>
          <xm:sqref>G10</xm:sqref>
        </x14:conditionalFormatting>
        <x14:conditionalFormatting xmlns:xm="http://schemas.microsoft.com/office/excel/2006/main">
          <x14:cfRule type="dataBar" id="{8E2BD7D6-E538-4563-A5ED-FB059C7CC86C}">
            <x14:dataBar minLength="0" maxLength="100" gradient="0">
              <x14:cfvo type="num">
                <xm:f>0</xm:f>
              </x14:cfvo>
              <x14:cfvo type="num">
                <xm:f>$I$11</xm:f>
              </x14:cfvo>
              <x14:negativeFillColor rgb="FFFF0000"/>
              <x14:axisColor rgb="FF000000"/>
            </x14:dataBar>
          </x14:cfRule>
          <xm:sqref>F11</xm:sqref>
        </x14:conditionalFormatting>
        <x14:conditionalFormatting xmlns:xm="http://schemas.microsoft.com/office/excel/2006/main">
          <x14:cfRule type="dataBar" id="{0EB7E8BB-CA0B-4314-95E3-9FE0138C4ABB}">
            <x14:dataBar minLength="0" maxLength="100" gradient="0">
              <x14:cfvo type="num">
                <xm:f>0</xm:f>
              </x14:cfvo>
              <x14:cfvo type="num">
                <xm:f>$J$11</xm:f>
              </x14:cfvo>
              <x14:negativeFillColor rgb="FFFF0000"/>
              <x14:axisColor rgb="FF000000"/>
            </x14:dataBar>
          </x14:cfRule>
          <xm:sqref>G11</xm:sqref>
        </x14:conditionalFormatting>
        <x14:conditionalFormatting xmlns:xm="http://schemas.microsoft.com/office/excel/2006/main">
          <x14:cfRule type="dataBar" id="{51DBE090-B457-4A44-BAFB-672C290913CF}">
            <x14:dataBar minLength="0" maxLength="100" gradient="0">
              <x14:cfvo type="num">
                <xm:f>0</xm:f>
              </x14:cfvo>
              <x14:cfvo type="num">
                <xm:f>$I$12</xm:f>
              </x14:cfvo>
              <x14:negativeFillColor rgb="FFFF0000"/>
              <x14:axisColor rgb="FF000000"/>
            </x14:dataBar>
          </x14:cfRule>
          <xm:sqref>F12</xm:sqref>
        </x14:conditionalFormatting>
        <x14:conditionalFormatting xmlns:xm="http://schemas.microsoft.com/office/excel/2006/main">
          <x14:cfRule type="dataBar" id="{9F666E0E-7930-4B75-BBFE-B51BBE9683AB}">
            <x14:dataBar minLength="0" maxLength="100" gradient="0">
              <x14:cfvo type="num">
                <xm:f>0</xm:f>
              </x14:cfvo>
              <x14:cfvo type="num">
                <xm:f>$J$12</xm:f>
              </x14:cfvo>
              <x14:negativeFillColor rgb="FFFF0000"/>
              <x14:axisColor rgb="FF000000"/>
            </x14:dataBar>
          </x14:cfRule>
          <xm:sqref>G12</xm:sqref>
        </x14:conditionalFormatting>
        <x14:conditionalFormatting xmlns:xm="http://schemas.microsoft.com/office/excel/2006/main">
          <x14:cfRule type="dataBar" id="{2701032D-4689-416A-BE33-654F5057B451}">
            <x14:dataBar minLength="0" maxLength="100" gradient="0">
              <x14:cfvo type="num">
                <xm:f>0</xm:f>
              </x14:cfvo>
              <x14:cfvo type="num">
                <xm:f>$I$13</xm:f>
              </x14:cfvo>
              <x14:negativeFillColor rgb="FFFF0000"/>
              <x14:axisColor rgb="FF000000"/>
            </x14:dataBar>
          </x14:cfRule>
          <xm:sqref>F13</xm:sqref>
        </x14:conditionalFormatting>
        <x14:conditionalFormatting xmlns:xm="http://schemas.microsoft.com/office/excel/2006/main">
          <x14:cfRule type="dataBar" id="{00B26AE4-7257-462B-9DE8-702810E094B7}">
            <x14:dataBar minLength="0" maxLength="100" gradient="0">
              <x14:cfvo type="num">
                <xm:f>0</xm:f>
              </x14:cfvo>
              <x14:cfvo type="num">
                <xm:f>$J$13</xm:f>
              </x14:cfvo>
              <x14:negativeFillColor rgb="FFFF0000"/>
              <x14:axisColor rgb="FF000000"/>
            </x14:dataBar>
          </x14:cfRule>
          <xm:sqref>G13</xm:sqref>
        </x14:conditionalFormatting>
        <x14:conditionalFormatting xmlns:xm="http://schemas.microsoft.com/office/excel/2006/main">
          <x14:cfRule type="dataBar" id="{640C0BC6-B507-4B09-8780-7E5420105CA9}">
            <x14:dataBar minLength="0" maxLength="100" gradient="0">
              <x14:cfvo type="num">
                <xm:f>0</xm:f>
              </x14:cfvo>
              <x14:cfvo type="num">
                <xm:f>$I$14</xm:f>
              </x14:cfvo>
              <x14:negativeFillColor rgb="FFFF0000"/>
              <x14:axisColor rgb="FF000000"/>
            </x14:dataBar>
          </x14:cfRule>
          <xm:sqref>F14</xm:sqref>
        </x14:conditionalFormatting>
        <x14:conditionalFormatting xmlns:xm="http://schemas.microsoft.com/office/excel/2006/main">
          <x14:cfRule type="dataBar" id="{6583BD41-5F05-42EC-ACC1-2CECDDA8336E}">
            <x14:dataBar minLength="0" maxLength="100" gradient="0">
              <x14:cfvo type="num">
                <xm:f>0</xm:f>
              </x14:cfvo>
              <x14:cfvo type="num">
                <xm:f>$J$14</xm:f>
              </x14:cfvo>
              <x14:negativeFillColor rgb="FFFF0000"/>
              <x14:axisColor rgb="FF000000"/>
            </x14:dataBar>
          </x14:cfRule>
          <xm:sqref>G14</xm:sqref>
        </x14:conditionalFormatting>
        <x14:conditionalFormatting xmlns:xm="http://schemas.microsoft.com/office/excel/2006/main">
          <x14:cfRule type="dataBar" id="{5DAA71A4-9901-4A1E-A334-74B95AA4FAE3}">
            <x14:dataBar minLength="0" maxLength="100" gradient="0">
              <x14:cfvo type="num">
                <xm:f>0</xm:f>
              </x14:cfvo>
              <x14:cfvo type="num">
                <xm:f>$I$15</xm:f>
              </x14:cfvo>
              <x14:negativeFillColor rgb="FFFF0000"/>
              <x14:axisColor rgb="FF000000"/>
            </x14:dataBar>
          </x14:cfRule>
          <xm:sqref>F15</xm:sqref>
        </x14:conditionalFormatting>
        <x14:conditionalFormatting xmlns:xm="http://schemas.microsoft.com/office/excel/2006/main">
          <x14:cfRule type="dataBar" id="{8E233F3F-D58D-42A5-8503-9F33B77498F3}">
            <x14:dataBar minLength="0" maxLength="100" gradient="0">
              <x14:cfvo type="num">
                <xm:f>0</xm:f>
              </x14:cfvo>
              <x14:cfvo type="num">
                <xm:f>$J$15</xm:f>
              </x14:cfvo>
              <x14:negativeFillColor rgb="FFFF0000"/>
              <x14:axisColor rgb="FF000000"/>
            </x14:dataBar>
          </x14:cfRule>
          <xm:sqref>G15</xm:sqref>
        </x14:conditionalFormatting>
        <x14:conditionalFormatting xmlns:xm="http://schemas.microsoft.com/office/excel/2006/main">
          <x14:cfRule type="dataBar" id="{8DC18EC7-B121-4C62-9E8D-EFBBCE967729}">
            <x14:dataBar minLength="0" maxLength="100" gradient="0">
              <x14:cfvo type="num">
                <xm:f>0</xm:f>
              </x14:cfvo>
              <x14:cfvo type="num">
                <xm:f>$I$16</xm:f>
              </x14:cfvo>
              <x14:negativeFillColor rgb="FFFF0000"/>
              <x14:axisColor rgb="FF000000"/>
            </x14:dataBar>
          </x14:cfRule>
          <xm:sqref>F16</xm:sqref>
        </x14:conditionalFormatting>
        <x14:conditionalFormatting xmlns:xm="http://schemas.microsoft.com/office/excel/2006/main">
          <x14:cfRule type="dataBar" id="{495C8679-9C09-40AB-8E45-8A6605B3BA7C}">
            <x14:dataBar minLength="0" maxLength="100" gradient="0">
              <x14:cfvo type="num">
                <xm:f>0</xm:f>
              </x14:cfvo>
              <x14:cfvo type="num">
                <xm:f>$J$16</xm:f>
              </x14:cfvo>
              <x14:negativeFillColor rgb="FFFF0000"/>
              <x14:axisColor rgb="FF000000"/>
            </x14:dataBar>
          </x14:cfRule>
          <xm:sqref>G16</xm:sqref>
        </x14:conditionalFormatting>
        <x14:conditionalFormatting xmlns:xm="http://schemas.microsoft.com/office/excel/2006/main">
          <x14:cfRule type="dataBar" id="{0FDCB87E-313C-4E7F-8EB9-C4E1E06379EB}">
            <x14:dataBar minLength="0" maxLength="100" gradient="0">
              <x14:cfvo type="num">
                <xm:f>0</xm:f>
              </x14:cfvo>
              <x14:cfvo type="num">
                <xm:f>$I$17</xm:f>
              </x14:cfvo>
              <x14:negativeFillColor rgb="FFFF0000"/>
              <x14:axisColor rgb="FF000000"/>
            </x14:dataBar>
          </x14:cfRule>
          <xm:sqref>F17</xm:sqref>
        </x14:conditionalFormatting>
        <x14:conditionalFormatting xmlns:xm="http://schemas.microsoft.com/office/excel/2006/main">
          <x14:cfRule type="dataBar" id="{8D2B2486-B2BD-4EE2-B373-EFB130DD5154}">
            <x14:dataBar minLength="0" maxLength="100" gradient="0">
              <x14:cfvo type="num">
                <xm:f>0</xm:f>
              </x14:cfvo>
              <x14:cfvo type="num">
                <xm:f>$J$17</xm:f>
              </x14:cfvo>
              <x14:negativeFillColor rgb="FFFF0000"/>
              <x14:axisColor rgb="FF000000"/>
            </x14:dataBar>
          </x14:cfRule>
          <xm:sqref>G17</xm:sqref>
        </x14:conditionalFormatting>
        <x14:conditionalFormatting xmlns:xm="http://schemas.microsoft.com/office/excel/2006/main">
          <x14:cfRule type="dataBar" id="{BACCB52F-EAB6-4BE8-BDA1-C608A8934494}">
            <x14:dataBar minLength="0" maxLength="100" gradient="0">
              <x14:cfvo type="num">
                <xm:f>0</xm:f>
              </x14:cfvo>
              <x14:cfvo type="num">
                <xm:f>$I$18</xm:f>
              </x14:cfvo>
              <x14:negativeFillColor rgb="FFFF0000"/>
              <x14:axisColor rgb="FF000000"/>
            </x14:dataBar>
          </x14:cfRule>
          <xm:sqref>F18</xm:sqref>
        </x14:conditionalFormatting>
        <x14:conditionalFormatting xmlns:xm="http://schemas.microsoft.com/office/excel/2006/main">
          <x14:cfRule type="dataBar" id="{32744588-BD56-49A8-ABD6-15D7CAB9FC5C}">
            <x14:dataBar minLength="0" maxLength="100" gradient="0">
              <x14:cfvo type="num">
                <xm:f>0</xm:f>
              </x14:cfvo>
              <x14:cfvo type="num">
                <xm:f>$J$18</xm:f>
              </x14:cfvo>
              <x14:negativeFillColor rgb="FFFF0000"/>
              <x14:axisColor rgb="FF000000"/>
            </x14:dataBar>
          </x14:cfRule>
          <xm:sqref>G18</xm:sqref>
        </x14:conditionalFormatting>
        <x14:conditionalFormatting xmlns:xm="http://schemas.microsoft.com/office/excel/2006/main">
          <x14:cfRule type="dataBar" id="{8BF92C6C-F9C3-4B02-99CD-7D11884954F6}">
            <x14:dataBar minLength="0" maxLength="100" gradient="0">
              <x14:cfvo type="num">
                <xm:f>0</xm:f>
              </x14:cfvo>
              <x14:cfvo type="num">
                <xm:f>$I$19</xm:f>
              </x14:cfvo>
              <x14:negativeFillColor rgb="FFFF0000"/>
              <x14:axisColor rgb="FF000000"/>
            </x14:dataBar>
          </x14:cfRule>
          <xm:sqref>F19</xm:sqref>
        </x14:conditionalFormatting>
        <x14:conditionalFormatting xmlns:xm="http://schemas.microsoft.com/office/excel/2006/main">
          <x14:cfRule type="dataBar" id="{C969ED47-867E-46ED-B382-822C62EBE192}">
            <x14:dataBar minLength="0" maxLength="100" gradient="0">
              <x14:cfvo type="num">
                <xm:f>0</xm:f>
              </x14:cfvo>
              <x14:cfvo type="num">
                <xm:f>$J$19</xm:f>
              </x14:cfvo>
              <x14:negativeFillColor rgb="FFFF0000"/>
              <x14:axisColor rgb="FF000000"/>
            </x14:dataBar>
          </x14:cfRule>
          <xm:sqref>G19</xm:sqref>
        </x14:conditionalFormatting>
        <x14:conditionalFormatting xmlns:xm="http://schemas.microsoft.com/office/excel/2006/main">
          <x14:cfRule type="dataBar" id="{17B16124-A6A8-46DD-AEC1-C6EC09F26025}">
            <x14:dataBar minLength="0" maxLength="100" gradient="0">
              <x14:cfvo type="num">
                <xm:f>0</xm:f>
              </x14:cfvo>
              <x14:cfvo type="num">
                <xm:f>$I$20</xm:f>
              </x14:cfvo>
              <x14:negativeFillColor rgb="FFFF0000"/>
              <x14:axisColor rgb="FF000000"/>
            </x14:dataBar>
          </x14:cfRule>
          <xm:sqref>F20</xm:sqref>
        </x14:conditionalFormatting>
        <x14:conditionalFormatting xmlns:xm="http://schemas.microsoft.com/office/excel/2006/main">
          <x14:cfRule type="dataBar" id="{F8B85B27-5A24-4A53-9B81-A96596964964}">
            <x14:dataBar minLength="0" maxLength="100" gradient="0">
              <x14:cfvo type="num">
                <xm:f>0</xm:f>
              </x14:cfvo>
              <x14:cfvo type="num">
                <xm:f>$J$20</xm:f>
              </x14:cfvo>
              <x14:negativeFillColor rgb="FFFF0000"/>
              <x14:axisColor rgb="FF000000"/>
            </x14:dataBar>
          </x14:cfRule>
          <xm:sqref>G20</xm:sqref>
        </x14:conditionalFormatting>
        <x14:conditionalFormatting xmlns:xm="http://schemas.microsoft.com/office/excel/2006/main">
          <x14:cfRule type="dataBar" id="{05F599F5-4994-44F9-BF19-A131F10A3CA8}">
            <x14:dataBar minLength="0" maxLength="100" gradient="0">
              <x14:cfvo type="num">
                <xm:f>0</xm:f>
              </x14:cfvo>
              <x14:cfvo type="num">
                <xm:f>$I$21</xm:f>
              </x14:cfvo>
              <x14:negativeFillColor rgb="FFFF0000"/>
              <x14:axisColor rgb="FF000000"/>
            </x14:dataBar>
          </x14:cfRule>
          <xm:sqref>F21</xm:sqref>
        </x14:conditionalFormatting>
        <x14:conditionalFormatting xmlns:xm="http://schemas.microsoft.com/office/excel/2006/main">
          <x14:cfRule type="dataBar" id="{FA9994A7-34AB-4AE3-8B4E-852DFC3F1B79}">
            <x14:dataBar minLength="0" maxLength="100" gradient="0">
              <x14:cfvo type="num">
                <xm:f>0</xm:f>
              </x14:cfvo>
              <x14:cfvo type="num">
                <xm:f>$J$21</xm:f>
              </x14:cfvo>
              <x14:negativeFillColor rgb="FFFF0000"/>
              <x14:axisColor rgb="FF000000"/>
            </x14:dataBar>
          </x14:cfRule>
          <xm:sqref>G21</xm:sqref>
        </x14:conditionalFormatting>
        <x14:conditionalFormatting xmlns:xm="http://schemas.microsoft.com/office/excel/2006/main">
          <x14:cfRule type="dataBar" id="{12DD2C50-6060-4E19-95EE-59D13DE7DC8D}">
            <x14:dataBar minLength="0" maxLength="100" gradient="0">
              <x14:cfvo type="num">
                <xm:f>0</xm:f>
              </x14:cfvo>
              <x14:cfvo type="num">
                <xm:f>$I$22</xm:f>
              </x14:cfvo>
              <x14:negativeFillColor rgb="FFFF0000"/>
              <x14:axisColor rgb="FF000000"/>
            </x14:dataBar>
          </x14:cfRule>
          <xm:sqref>F22</xm:sqref>
        </x14:conditionalFormatting>
        <x14:conditionalFormatting xmlns:xm="http://schemas.microsoft.com/office/excel/2006/main">
          <x14:cfRule type="dataBar" id="{CA9E72BC-4995-4A1B-908C-9D2A01504A32}">
            <x14:dataBar minLength="0" maxLength="100" gradient="0">
              <x14:cfvo type="num">
                <xm:f>0</xm:f>
              </x14:cfvo>
              <x14:cfvo type="num">
                <xm:f>$J$22</xm:f>
              </x14:cfvo>
              <x14:negativeFillColor rgb="FFFF0000"/>
              <x14:axisColor rgb="FF000000"/>
            </x14:dataBar>
          </x14:cfRule>
          <xm:sqref>G22</xm:sqref>
        </x14:conditionalFormatting>
        <x14:conditionalFormatting xmlns:xm="http://schemas.microsoft.com/office/excel/2006/main">
          <x14:cfRule type="dataBar" id="{0B17D038-78B0-4660-A34D-0CD045A4AA62}">
            <x14:dataBar minLength="0" maxLength="100" gradient="0">
              <x14:cfvo type="num">
                <xm:f>0</xm:f>
              </x14:cfvo>
              <x14:cfvo type="num">
                <xm:f>$I$23</xm:f>
              </x14:cfvo>
              <x14:negativeFillColor rgb="FFFF0000"/>
              <x14:axisColor rgb="FF000000"/>
            </x14:dataBar>
          </x14:cfRule>
          <xm:sqref>F23</xm:sqref>
        </x14:conditionalFormatting>
        <x14:conditionalFormatting xmlns:xm="http://schemas.microsoft.com/office/excel/2006/main">
          <x14:cfRule type="dataBar" id="{74762DF1-64B7-468B-8F82-5B3F4EA9E6C1}">
            <x14:dataBar minLength="0" maxLength="100" gradient="0">
              <x14:cfvo type="num">
                <xm:f>0</xm:f>
              </x14:cfvo>
              <x14:cfvo type="num">
                <xm:f>$J$23</xm:f>
              </x14:cfvo>
              <x14:negativeFillColor rgb="FFFF0000"/>
              <x14:axisColor rgb="FF000000"/>
            </x14:dataBar>
          </x14:cfRule>
          <xm:sqref>G23</xm:sqref>
        </x14:conditionalFormatting>
        <x14:conditionalFormatting xmlns:xm="http://schemas.microsoft.com/office/excel/2006/main">
          <x14:cfRule type="dataBar" id="{B3E5BD41-DD86-488F-8CC2-F31480834F8A}">
            <x14:dataBar minLength="0" maxLength="100" gradient="0">
              <x14:cfvo type="num">
                <xm:f>0</xm:f>
              </x14:cfvo>
              <x14:cfvo type="num">
                <xm:f>$I$24</xm:f>
              </x14:cfvo>
              <x14:negativeFillColor rgb="FFFF0000"/>
              <x14:axisColor rgb="FF000000"/>
            </x14:dataBar>
          </x14:cfRule>
          <x14:cfRule type="dataBar" id="{711D6E7C-FF68-4B30-AA14-98A8D5B88BD4}">
            <x14:dataBar minLength="0" maxLength="100" gradient="0">
              <x14:cfvo type="num">
                <xm:f>0</xm:f>
              </x14:cfvo>
              <x14:cfvo type="num">
                <xm:f>"0+$I$24"</xm:f>
              </x14:cfvo>
              <x14:negativeFillColor rgb="FFFF0000"/>
              <x14:axisColor rgb="FF000000"/>
            </x14:dataBar>
          </x14:cfRule>
          <xm:sqref>F24</xm:sqref>
        </x14:conditionalFormatting>
        <x14:conditionalFormatting xmlns:xm="http://schemas.microsoft.com/office/excel/2006/main">
          <x14:cfRule type="dataBar" id="{23DA3E5D-EBF2-460D-9DB3-ED3401F7D9EC}">
            <x14:dataBar minLength="0" maxLength="100" gradient="0">
              <x14:cfvo type="num">
                <xm:f>0</xm:f>
              </x14:cfvo>
              <x14:cfvo type="num">
                <xm:f>$J$24</xm:f>
              </x14:cfvo>
              <x14:negativeFillColor rgb="FFFF0000"/>
              <x14:axisColor rgb="FF000000"/>
            </x14:dataBar>
          </x14:cfRule>
          <xm:sqref>G24</xm:sqref>
        </x14:conditionalFormatting>
        <x14:conditionalFormatting xmlns:xm="http://schemas.microsoft.com/office/excel/2006/main">
          <x14:cfRule type="dataBar" id="{30FEE780-8F8A-4B5E-938A-F68E6446C848}">
            <x14:dataBar minLength="0" maxLength="100" gradient="0">
              <x14:cfvo type="num">
                <xm:f>0</xm:f>
              </x14:cfvo>
              <x14:cfvo type="num">
                <xm:f>$I$25</xm:f>
              </x14:cfvo>
              <x14:negativeFillColor rgb="FFFF0000"/>
              <x14:axisColor rgb="FF000000"/>
            </x14:dataBar>
          </x14:cfRule>
          <xm:sqref>F25</xm:sqref>
        </x14:conditionalFormatting>
        <x14:conditionalFormatting xmlns:xm="http://schemas.microsoft.com/office/excel/2006/main">
          <x14:cfRule type="dataBar" id="{84C7D37A-7CE3-4FDD-B8A5-5909F694F60B}">
            <x14:dataBar minLength="0" maxLength="100" gradient="0">
              <x14:cfvo type="num">
                <xm:f>0</xm:f>
              </x14:cfvo>
              <x14:cfvo type="num">
                <xm:f>$J$25</xm:f>
              </x14:cfvo>
              <x14:negativeFillColor rgb="FFFF0000"/>
              <x14:axisColor rgb="FF000000"/>
            </x14:dataBar>
          </x14:cfRule>
          <xm:sqref>G25</xm:sqref>
        </x14:conditionalFormatting>
        <x14:conditionalFormatting xmlns:xm="http://schemas.microsoft.com/office/excel/2006/main">
          <x14:cfRule type="dataBar" id="{4A1F3E45-0C5A-42F1-A765-970866AE2164}">
            <x14:dataBar minLength="0" maxLength="100" gradient="0">
              <x14:cfvo type="num">
                <xm:f>0</xm:f>
              </x14:cfvo>
              <x14:cfvo type="num">
                <xm:f>$I$26</xm:f>
              </x14:cfvo>
              <x14:negativeFillColor rgb="FFFF0000"/>
              <x14:axisColor rgb="FF000000"/>
            </x14:dataBar>
          </x14:cfRule>
          <xm:sqref>F26</xm:sqref>
        </x14:conditionalFormatting>
        <x14:conditionalFormatting xmlns:xm="http://schemas.microsoft.com/office/excel/2006/main">
          <x14:cfRule type="dataBar" id="{351BFEF4-F3C1-4B82-ABCC-A94AA3B66C5F}">
            <x14:dataBar minLength="0" maxLength="100" gradient="0">
              <x14:cfvo type="num">
                <xm:f>0</xm:f>
              </x14:cfvo>
              <x14:cfvo type="num">
                <xm:f>$J$26</xm:f>
              </x14:cfvo>
              <x14:negativeFillColor rgb="FFFF0000"/>
              <x14:axisColor rgb="FF000000"/>
            </x14:dataBar>
          </x14:cfRule>
          <xm:sqref>G26</xm:sqref>
        </x14:conditionalFormatting>
        <x14:conditionalFormatting xmlns:xm="http://schemas.microsoft.com/office/excel/2006/main">
          <x14:cfRule type="dataBar" id="{7E67403A-A7D5-48F6-B0AC-2616D438553C}">
            <x14:dataBar minLength="0" maxLength="100" gradient="0">
              <x14:cfvo type="num">
                <xm:f>0</xm:f>
              </x14:cfvo>
              <x14:cfvo type="num">
                <xm:f>$I$27</xm:f>
              </x14:cfvo>
              <x14:negativeFillColor rgb="FFFF0000"/>
              <x14:axisColor rgb="FF000000"/>
            </x14:dataBar>
          </x14:cfRule>
          <xm:sqref>F27</xm:sqref>
        </x14:conditionalFormatting>
        <x14:conditionalFormatting xmlns:xm="http://schemas.microsoft.com/office/excel/2006/main">
          <x14:cfRule type="dataBar" id="{011E3EEC-F0D4-46CF-9649-9B37530D4121}">
            <x14:dataBar minLength="0" maxLength="100" gradient="0">
              <x14:cfvo type="num">
                <xm:f>0</xm:f>
              </x14:cfvo>
              <x14:cfvo type="num">
                <xm:f>$J$27</xm:f>
              </x14:cfvo>
              <x14:negativeFillColor rgb="FFFF0000"/>
              <x14:axisColor rgb="FF000000"/>
            </x14:dataBar>
          </x14:cfRule>
          <xm:sqref>G27</xm:sqref>
        </x14:conditionalFormatting>
        <x14:conditionalFormatting xmlns:xm="http://schemas.microsoft.com/office/excel/2006/main">
          <x14:cfRule type="dataBar" id="{7E50E980-1D36-48E7-A2B9-FC4328578E11}">
            <x14:dataBar minLength="0" maxLength="100" gradient="0">
              <x14:cfvo type="num">
                <xm:f>0</xm:f>
              </x14:cfvo>
              <x14:cfvo type="num">
                <xm:f>$I$28</xm:f>
              </x14:cfvo>
              <x14:negativeFillColor rgb="FFFF0000"/>
              <x14:axisColor rgb="FF000000"/>
            </x14:dataBar>
          </x14:cfRule>
          <xm:sqref>F28</xm:sqref>
        </x14:conditionalFormatting>
        <x14:conditionalFormatting xmlns:xm="http://schemas.microsoft.com/office/excel/2006/main">
          <x14:cfRule type="dataBar" id="{FB04FDF3-F114-459B-8116-E5EC27FBFB06}">
            <x14:dataBar minLength="0" maxLength="100" gradient="0">
              <x14:cfvo type="num">
                <xm:f>0</xm:f>
              </x14:cfvo>
              <x14:cfvo type="num">
                <xm:f>$J$28</xm:f>
              </x14:cfvo>
              <x14:negativeFillColor rgb="FFFF0000"/>
              <x14:axisColor rgb="FF000000"/>
            </x14:dataBar>
          </x14:cfRule>
          <xm:sqref>G28</xm:sqref>
        </x14:conditionalFormatting>
        <x14:conditionalFormatting xmlns:xm="http://schemas.microsoft.com/office/excel/2006/main">
          <x14:cfRule type="dataBar" id="{7F6097DA-6EE0-4195-A894-A9FD331633D6}">
            <x14:dataBar minLength="0" maxLength="100" gradient="0">
              <x14:cfvo type="num">
                <xm:f>0</xm:f>
              </x14:cfvo>
              <x14:cfvo type="num">
                <xm:f>$I$29</xm:f>
              </x14:cfvo>
              <x14:negativeFillColor rgb="FFFF0000"/>
              <x14:axisColor rgb="FF000000"/>
            </x14:dataBar>
          </x14:cfRule>
          <xm:sqref>F29</xm:sqref>
        </x14:conditionalFormatting>
        <x14:conditionalFormatting xmlns:xm="http://schemas.microsoft.com/office/excel/2006/main">
          <x14:cfRule type="dataBar" id="{4581C985-5688-4CB6-8DBA-BA02BC785173}">
            <x14:dataBar minLength="0" maxLength="100" gradient="0">
              <x14:cfvo type="num">
                <xm:f>0</xm:f>
              </x14:cfvo>
              <x14:cfvo type="num">
                <xm:f>$J$29</xm:f>
              </x14:cfvo>
              <x14:negativeFillColor rgb="FFFF0000"/>
              <x14:axisColor rgb="FF000000"/>
            </x14:dataBar>
          </x14:cfRule>
          <xm:sqref>G29</xm:sqref>
        </x14:conditionalFormatting>
        <x14:conditionalFormatting xmlns:xm="http://schemas.microsoft.com/office/excel/2006/main">
          <x14:cfRule type="dataBar" id="{CF5BCE2D-FE67-4272-969C-1EEF78FA2E2E}">
            <x14:dataBar minLength="0" maxLength="100" gradient="0">
              <x14:cfvo type="num">
                <xm:f>0</xm:f>
              </x14:cfvo>
              <x14:cfvo type="num">
                <xm:f>$I$30</xm:f>
              </x14:cfvo>
              <x14:negativeFillColor rgb="FFFF0000"/>
              <x14:axisColor rgb="FF000000"/>
            </x14:dataBar>
          </x14:cfRule>
          <xm:sqref>F30</xm:sqref>
        </x14:conditionalFormatting>
        <x14:conditionalFormatting xmlns:xm="http://schemas.microsoft.com/office/excel/2006/main">
          <x14:cfRule type="dataBar" id="{A6E3A6CA-4976-4F6A-8273-76E787333155}">
            <x14:dataBar minLength="0" maxLength="100" gradient="0">
              <x14:cfvo type="num">
                <xm:f>0</xm:f>
              </x14:cfvo>
              <x14:cfvo type="num">
                <xm:f>$J$30</xm:f>
              </x14:cfvo>
              <x14:negativeFillColor rgb="FFFF0000"/>
              <x14:axisColor rgb="FF000000"/>
            </x14:dataBar>
          </x14:cfRule>
          <xm:sqref>G30</xm:sqref>
        </x14:conditionalFormatting>
        <x14:conditionalFormatting xmlns:xm="http://schemas.microsoft.com/office/excel/2006/main">
          <x14:cfRule type="dataBar" id="{536BE29D-14CA-448D-A18D-78B992779808}">
            <x14:dataBar minLength="0" maxLength="100" gradient="0">
              <x14:cfvo type="num">
                <xm:f>0</xm:f>
              </x14:cfvo>
              <x14:cfvo type="num">
                <xm:f>$I$2</xm:f>
              </x14:cfvo>
              <x14:negativeFillColor rgb="FFFF0000"/>
              <x14:axisColor rgb="FF000000"/>
            </x14:dataBar>
          </x14:cfRule>
          <xm:sqref>F2</xm:sqref>
        </x14:conditionalFormatting>
        <x14:conditionalFormatting xmlns:xm="http://schemas.microsoft.com/office/excel/2006/main">
          <x14:cfRule type="dataBar" id="{765568A8-C926-4282-9331-CAF68FBFA81C}">
            <x14:dataBar minLength="0" maxLength="100" gradient="0">
              <x14:cfvo type="num">
                <xm:f>0</xm:f>
              </x14:cfvo>
              <x14:cfvo type="num">
                <xm:f>$J$2</xm:f>
              </x14:cfvo>
              <x14:negativeFillColor rgb="FFFF0000"/>
              <x14:axisColor rgb="FF000000"/>
            </x14:dataBar>
          </x14:cfRule>
          <xm:sqref>G2</xm:sqref>
        </x14:conditionalFormatting>
        <x14:conditionalFormatting xmlns:xm="http://schemas.microsoft.com/office/excel/2006/main">
          <x14:cfRule type="expression" priority="94" id="{2C5BC6C0-AB2C-43C5-80E7-23705A77E4B8}">
            <xm:f>D2=계급표!$D$5</xm:f>
            <x14:dxf>
              <fill>
                <patternFill>
                  <bgColor theme="9"/>
                </patternFill>
              </fill>
            </x14:dxf>
          </x14:cfRule>
          <x14:cfRule type="expression" priority="95" id="{C69F84CB-FDFA-4536-BD63-66F511DF8DB3}">
            <xm:f>D2=계급표!$D$4</xm:f>
            <x14:dxf>
              <fill>
                <patternFill>
                  <bgColor theme="9"/>
                </patternFill>
              </fill>
            </x14:dxf>
          </x14:cfRule>
          <x14:cfRule type="expression" priority="96" id="{AE96E3DA-3E3C-4EA2-A16D-0415DEA2D656}">
            <xm:f>D2=계급표!$D$3</xm:f>
            <x14:dxf>
              <fill>
                <patternFill>
                  <bgColor theme="9"/>
                </patternFill>
              </fill>
            </x14:dxf>
          </x14:cfRule>
          <xm:sqref>A2:A30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5"/>
  <sheetViews>
    <sheetView zoomScale="385" zoomScaleNormal="385" workbookViewId="0">
      <selection activeCell="B5" sqref="B5"/>
    </sheetView>
  </sheetViews>
  <sheetFormatPr defaultRowHeight="16.5" x14ac:dyDescent="0.3"/>
  <cols>
    <col min="2" max="3" width="11.625" customWidth="1"/>
    <col min="4" max="5" width="0" hidden="1" customWidth="1"/>
  </cols>
  <sheetData>
    <row r="1" spans="1:5" x14ac:dyDescent="0.3">
      <c r="A1" s="26" t="s">
        <v>7</v>
      </c>
      <c r="B1" s="26" t="s">
        <v>8</v>
      </c>
      <c r="C1" s="26" t="s">
        <v>9</v>
      </c>
      <c r="D1" s="13"/>
    </row>
    <row r="2" spans="1:5" x14ac:dyDescent="0.3">
      <c r="A2" s="26" t="s">
        <v>10</v>
      </c>
      <c r="B2" s="14">
        <v>0</v>
      </c>
      <c r="C2" s="14">
        <v>2</v>
      </c>
      <c r="D2" s="9" t="s">
        <v>17</v>
      </c>
      <c r="E2" s="9"/>
    </row>
    <row r="3" spans="1:5" x14ac:dyDescent="0.3">
      <c r="A3" s="26" t="s">
        <v>11</v>
      </c>
      <c r="B3" s="14">
        <v>3</v>
      </c>
      <c r="C3" s="14">
        <v>8</v>
      </c>
      <c r="D3" s="12" t="s">
        <v>14</v>
      </c>
      <c r="E3" s="9">
        <f>C2+B3</f>
        <v>5</v>
      </c>
    </row>
    <row r="4" spans="1:5" x14ac:dyDescent="0.3">
      <c r="A4" s="26" t="s">
        <v>12</v>
      </c>
      <c r="B4" s="14">
        <v>9</v>
      </c>
      <c r="C4" s="14">
        <v>14</v>
      </c>
      <c r="D4" s="12" t="s">
        <v>15</v>
      </c>
      <c r="E4" s="9">
        <f>C3+B4</f>
        <v>17</v>
      </c>
    </row>
    <row r="5" spans="1:5" x14ac:dyDescent="0.3">
      <c r="A5" s="26" t="s">
        <v>13</v>
      </c>
      <c r="B5" s="14">
        <v>15</v>
      </c>
      <c r="C5" s="14" t="s">
        <v>21</v>
      </c>
      <c r="D5" s="12" t="s">
        <v>16</v>
      </c>
      <c r="E5" s="9">
        <f>C4+B5</f>
        <v>29</v>
      </c>
    </row>
  </sheetData>
  <sheetProtection password="C4AC" sheet="1" objects="1" scenarios="1" select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복무요원 진급확인표</vt:lpstr>
      <vt:lpstr>복무요원 명단</vt:lpstr>
      <vt:lpstr>연·병가 확인표</vt:lpstr>
      <vt:lpstr>계급표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모보현</cp:lastModifiedBy>
  <cp:lastPrinted>2019-11-26T00:49:46Z</cp:lastPrinted>
  <dcterms:created xsi:type="dcterms:W3CDTF">2019-05-20T23:56:32Z</dcterms:created>
  <dcterms:modified xsi:type="dcterms:W3CDTF">2020-06-02T00:34:41Z</dcterms:modified>
</cp:coreProperties>
</file>